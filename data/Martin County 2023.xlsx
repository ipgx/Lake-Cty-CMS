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C282EA65-2A13-476D-A50D-3B970399AE37}" xr6:coauthVersionLast="47" xr6:coauthVersionMax="47" xr10:uidLastSave="{00000000-0000-0000-0000-000000000000}"/>
  <workbookProtection workbookAlgorithmName="SHA-512" workbookHashValue="lH3NsaKuXi5s9ogHiPq0vzNRrKA/CHJcEq7AyZcfgRG21zBSBLsnnDTrli0ItJufUT81h8b5v3/F6UJPR3adww==" workbookSaltValue="G0WoVAFrlSRUSFJxX5SEqQ==" workbookSpinCount="100000" lockStructure="1"/>
  <bookViews>
    <workbookView xWindow="-108" yWindow="-108" windowWidth="23256" windowHeight="12456" activeTab="2" xr2:uid="{00000000-000D-0000-FFFF-FFFF00000000}"/>
  </bookViews>
  <sheets>
    <sheet name="Table 1" sheetId="1" r:id="rId1"/>
    <sheet name="Sheet1" sheetId="3" r:id="rId2"/>
    <sheet name="Inpu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2" l="1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C180" i="2"/>
  <c r="D180" i="2"/>
  <c r="E180" i="2"/>
  <c r="C179" i="2"/>
  <c r="D179" i="2"/>
  <c r="E17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73" i="2"/>
  <c r="D73" i="2"/>
  <c r="E73" i="2"/>
  <c r="C74" i="2"/>
  <c r="D74" i="2"/>
  <c r="E74" i="2"/>
  <c r="C75" i="2"/>
  <c r="D75" i="2"/>
  <c r="E75" i="2"/>
  <c r="C76" i="2"/>
  <c r="D76" i="2"/>
  <c r="E76" i="2"/>
  <c r="C77" i="2"/>
  <c r="D77" i="2"/>
  <c r="E77" i="2"/>
  <c r="C78" i="2"/>
  <c r="D78" i="2"/>
  <c r="E78" i="2"/>
  <c r="C79" i="2"/>
  <c r="D79" i="2"/>
  <c r="E79" i="2"/>
  <c r="C80" i="2"/>
  <c r="D80" i="2"/>
  <c r="E80" i="2"/>
  <c r="C81" i="2"/>
  <c r="D81" i="2"/>
  <c r="E81" i="2"/>
  <c r="C82" i="2"/>
  <c r="D82" i="2"/>
  <c r="E82" i="2"/>
  <c r="C83" i="2"/>
  <c r="D83" i="2"/>
  <c r="E83" i="2"/>
  <c r="C84" i="2"/>
  <c r="D84" i="2"/>
  <c r="E84" i="2"/>
  <c r="C85" i="2"/>
  <c r="D85" i="2"/>
  <c r="E85" i="2"/>
  <c r="C86" i="2"/>
  <c r="D86" i="2"/>
  <c r="E86" i="2"/>
  <c r="C87" i="2"/>
  <c r="D87" i="2"/>
  <c r="E87" i="2"/>
  <c r="C88" i="2"/>
  <c r="D88" i="2"/>
  <c r="E88" i="2"/>
  <c r="C89" i="2"/>
  <c r="D89" i="2"/>
  <c r="E89" i="2"/>
  <c r="C90" i="2"/>
  <c r="D90" i="2"/>
  <c r="E90" i="2"/>
  <c r="C91" i="2"/>
  <c r="D91" i="2"/>
  <c r="E91" i="2"/>
  <c r="C92" i="2"/>
  <c r="D92" i="2"/>
  <c r="E92" i="2"/>
  <c r="C93" i="2"/>
  <c r="D93" i="2"/>
  <c r="E93" i="2"/>
  <c r="C94" i="2"/>
  <c r="D94" i="2"/>
  <c r="E94" i="2"/>
  <c r="C95" i="2"/>
  <c r="D95" i="2"/>
  <c r="E95" i="2"/>
  <c r="C96" i="2"/>
  <c r="D96" i="2"/>
  <c r="E96" i="2"/>
  <c r="C97" i="2"/>
  <c r="D97" i="2"/>
  <c r="E97" i="2"/>
  <c r="C98" i="2"/>
  <c r="D98" i="2"/>
  <c r="E98" i="2"/>
  <c r="C99" i="2"/>
  <c r="D99" i="2"/>
  <c r="E99" i="2"/>
  <c r="C100" i="2"/>
  <c r="D100" i="2"/>
  <c r="E100" i="2"/>
  <c r="C101" i="2"/>
  <c r="D101" i="2"/>
  <c r="E101" i="2"/>
  <c r="C102" i="2"/>
  <c r="D102" i="2"/>
  <c r="E102" i="2"/>
  <c r="C103" i="2"/>
  <c r="D103" i="2"/>
  <c r="E103" i="2"/>
  <c r="C104" i="2"/>
  <c r="D104" i="2"/>
  <c r="E104" i="2"/>
  <c r="C105" i="2"/>
  <c r="D105" i="2"/>
  <c r="E105" i="2"/>
  <c r="C106" i="2"/>
  <c r="D106" i="2"/>
  <c r="E106" i="2"/>
  <c r="C107" i="2"/>
  <c r="D107" i="2"/>
  <c r="E107" i="2"/>
  <c r="C108" i="2"/>
  <c r="D108" i="2"/>
  <c r="E108" i="2"/>
  <c r="C109" i="2"/>
  <c r="D109" i="2"/>
  <c r="E109" i="2"/>
  <c r="C110" i="2"/>
  <c r="D110" i="2"/>
  <c r="E110" i="2"/>
  <c r="C111" i="2"/>
  <c r="D111" i="2"/>
  <c r="E111" i="2"/>
  <c r="C112" i="2"/>
  <c r="D112" i="2"/>
  <c r="E112" i="2"/>
  <c r="C113" i="2"/>
  <c r="D113" i="2"/>
  <c r="E113" i="2"/>
  <c r="C114" i="2"/>
  <c r="D114" i="2"/>
  <c r="E114" i="2"/>
  <c r="C115" i="2"/>
  <c r="D115" i="2"/>
  <c r="E115" i="2"/>
  <c r="C116" i="2"/>
  <c r="D116" i="2"/>
  <c r="E116" i="2"/>
  <c r="C117" i="2"/>
  <c r="D117" i="2"/>
  <c r="E117" i="2"/>
  <c r="C118" i="2"/>
  <c r="D118" i="2"/>
  <c r="E118" i="2"/>
  <c r="C119" i="2"/>
  <c r="D119" i="2"/>
  <c r="E119" i="2"/>
  <c r="C120" i="2"/>
  <c r="D120" i="2"/>
  <c r="E120" i="2"/>
  <c r="C121" i="2"/>
  <c r="D121" i="2"/>
  <c r="E121" i="2"/>
  <c r="C122" i="2"/>
  <c r="D122" i="2"/>
  <c r="E122" i="2"/>
  <c r="C123" i="2"/>
  <c r="D123" i="2"/>
  <c r="E123" i="2"/>
  <c r="C124" i="2"/>
  <c r="D124" i="2"/>
  <c r="E124" i="2"/>
  <c r="C125" i="2"/>
  <c r="D125" i="2"/>
  <c r="E125" i="2"/>
  <c r="C126" i="2"/>
  <c r="D126" i="2"/>
  <c r="E126" i="2"/>
  <c r="C127" i="2"/>
  <c r="D127" i="2"/>
  <c r="E127" i="2"/>
  <c r="C128" i="2"/>
  <c r="D128" i="2"/>
  <c r="E128" i="2"/>
  <c r="C129" i="2"/>
  <c r="D129" i="2"/>
  <c r="E129" i="2"/>
  <c r="C130" i="2"/>
  <c r="D130" i="2"/>
  <c r="E130" i="2"/>
  <c r="C131" i="2"/>
  <c r="D131" i="2"/>
  <c r="E131" i="2"/>
  <c r="C132" i="2"/>
  <c r="D132" i="2"/>
  <c r="E132" i="2"/>
  <c r="C133" i="2"/>
  <c r="D133" i="2"/>
  <c r="E133" i="2"/>
  <c r="C134" i="2"/>
  <c r="D134" i="2"/>
  <c r="E134" i="2"/>
  <c r="C135" i="2"/>
  <c r="D135" i="2"/>
  <c r="E135" i="2"/>
  <c r="C136" i="2"/>
  <c r="D136" i="2"/>
  <c r="E136" i="2"/>
  <c r="C137" i="2"/>
  <c r="D137" i="2"/>
  <c r="E137" i="2"/>
  <c r="C138" i="2"/>
  <c r="D138" i="2"/>
  <c r="E138" i="2"/>
  <c r="C139" i="2"/>
  <c r="D139" i="2"/>
  <c r="E139" i="2"/>
  <c r="C140" i="2"/>
  <c r="D140" i="2"/>
  <c r="E140" i="2"/>
  <c r="C141" i="2"/>
  <c r="D141" i="2"/>
  <c r="E141" i="2"/>
  <c r="C142" i="2"/>
  <c r="D142" i="2"/>
  <c r="E142" i="2"/>
  <c r="C143" i="2"/>
  <c r="D143" i="2"/>
  <c r="E143" i="2"/>
  <c r="C144" i="2"/>
  <c r="D144" i="2"/>
  <c r="E144" i="2"/>
  <c r="C145" i="2"/>
  <c r="D145" i="2"/>
  <c r="E145" i="2"/>
  <c r="C146" i="2"/>
  <c r="D146" i="2"/>
  <c r="E146" i="2"/>
  <c r="C147" i="2"/>
  <c r="D147" i="2"/>
  <c r="E147" i="2"/>
  <c r="C148" i="2"/>
  <c r="D148" i="2"/>
  <c r="E148" i="2"/>
  <c r="C149" i="2"/>
  <c r="D149" i="2"/>
  <c r="E149" i="2"/>
  <c r="C150" i="2"/>
  <c r="D150" i="2"/>
  <c r="E150" i="2"/>
  <c r="C151" i="2"/>
  <c r="D151" i="2"/>
  <c r="E151" i="2"/>
  <c r="C152" i="2"/>
  <c r="D152" i="2"/>
  <c r="E152" i="2"/>
  <c r="C153" i="2"/>
  <c r="D153" i="2"/>
  <c r="E153" i="2"/>
  <c r="C154" i="2"/>
  <c r="D154" i="2"/>
  <c r="E154" i="2"/>
  <c r="C155" i="2"/>
  <c r="D155" i="2"/>
  <c r="E155" i="2"/>
  <c r="C156" i="2"/>
  <c r="D156" i="2"/>
  <c r="E156" i="2"/>
  <c r="C157" i="2"/>
  <c r="D157" i="2"/>
  <c r="E157" i="2"/>
  <c r="C158" i="2"/>
  <c r="D158" i="2"/>
  <c r="E158" i="2"/>
  <c r="C159" i="2"/>
  <c r="D159" i="2"/>
  <c r="E159" i="2"/>
  <c r="C160" i="2"/>
  <c r="D160" i="2"/>
  <c r="E160" i="2"/>
  <c r="C161" i="2"/>
  <c r="D161" i="2"/>
  <c r="E161" i="2"/>
  <c r="C162" i="2"/>
  <c r="D162" i="2"/>
  <c r="E162" i="2"/>
  <c r="C163" i="2"/>
  <c r="D163" i="2"/>
  <c r="E163" i="2"/>
  <c r="C164" i="2"/>
  <c r="D164" i="2"/>
  <c r="E164" i="2"/>
  <c r="C165" i="2"/>
  <c r="D165" i="2"/>
  <c r="E165" i="2"/>
  <c r="C166" i="2"/>
  <c r="D166" i="2"/>
  <c r="E166" i="2"/>
  <c r="C167" i="2"/>
  <c r="D167" i="2"/>
  <c r="E167" i="2"/>
  <c r="C168" i="2"/>
  <c r="D168" i="2"/>
  <c r="E168" i="2"/>
  <c r="C169" i="2"/>
  <c r="D169" i="2"/>
  <c r="E169" i="2"/>
  <c r="C170" i="2"/>
  <c r="D170" i="2"/>
  <c r="E170" i="2"/>
  <c r="C171" i="2"/>
  <c r="D171" i="2"/>
  <c r="E171" i="2"/>
  <c r="C172" i="2"/>
  <c r="D172" i="2"/>
  <c r="E172" i="2"/>
  <c r="C173" i="2"/>
  <c r="D173" i="2"/>
  <c r="E173" i="2"/>
  <c r="C174" i="2"/>
  <c r="D174" i="2"/>
  <c r="E174" i="2"/>
  <c r="C175" i="2"/>
  <c r="D175" i="2"/>
  <c r="E175" i="2"/>
  <c r="C176" i="2"/>
  <c r="D176" i="2"/>
  <c r="E176" i="2"/>
  <c r="C177" i="2"/>
  <c r="D177" i="2"/>
  <c r="E177" i="2"/>
  <c r="C178" i="2"/>
  <c r="D178" i="2"/>
  <c r="E178" i="2"/>
  <c r="T9" i="2"/>
  <c r="B174" i="2" l="1"/>
  <c r="B170" i="2"/>
  <c r="B162" i="2"/>
  <c r="B158" i="2"/>
  <c r="B154" i="2"/>
  <c r="B150" i="2"/>
  <c r="B146" i="2"/>
  <c r="B142" i="2"/>
  <c r="B138" i="2"/>
  <c r="B134" i="2"/>
  <c r="B130" i="2"/>
  <c r="B126" i="2"/>
  <c r="B122" i="2"/>
  <c r="B118" i="2"/>
  <c r="B114" i="2"/>
  <c r="B110" i="2"/>
  <c r="B106" i="2"/>
  <c r="B178" i="2"/>
  <c r="B166" i="2"/>
  <c r="B153" i="2"/>
  <c r="B133" i="2"/>
  <c r="B101" i="2"/>
  <c r="B69" i="2"/>
  <c r="B21" i="2"/>
  <c r="B77" i="2"/>
  <c r="B177" i="2"/>
  <c r="B145" i="2"/>
  <c r="B105" i="2"/>
  <c r="B61" i="2"/>
  <c r="B179" i="2"/>
  <c r="B172" i="2"/>
  <c r="B164" i="2"/>
  <c r="B156" i="2"/>
  <c r="B148" i="2"/>
  <c r="B140" i="2"/>
  <c r="B132" i="2"/>
  <c r="B124" i="2"/>
  <c r="B116" i="2"/>
  <c r="B108" i="2"/>
  <c r="B100" i="2"/>
  <c r="B92" i="2"/>
  <c r="B84" i="2"/>
  <c r="B72" i="2"/>
  <c r="B56" i="2"/>
  <c r="B48" i="2"/>
  <c r="B40" i="2"/>
  <c r="B32" i="2"/>
  <c r="B28" i="2"/>
  <c r="B24" i="2"/>
  <c r="B20" i="2"/>
  <c r="B12" i="2"/>
  <c r="B180" i="2"/>
  <c r="B157" i="2"/>
  <c r="B125" i="2"/>
  <c r="B97" i="2"/>
  <c r="B65" i="2"/>
  <c r="B33" i="2"/>
  <c r="B176" i="2"/>
  <c r="B168" i="2"/>
  <c r="B160" i="2"/>
  <c r="B152" i="2"/>
  <c r="B144" i="2"/>
  <c r="B136" i="2"/>
  <c r="B128" i="2"/>
  <c r="B120" i="2"/>
  <c r="B112" i="2"/>
  <c r="B104" i="2"/>
  <c r="B96" i="2"/>
  <c r="B88" i="2"/>
  <c r="B80" i="2"/>
  <c r="B76" i="2"/>
  <c r="B68" i="2"/>
  <c r="B64" i="2"/>
  <c r="B60" i="2"/>
  <c r="B52" i="2"/>
  <c r="B44" i="2"/>
  <c r="B36" i="2"/>
  <c r="B16" i="2"/>
  <c r="B161" i="2"/>
  <c r="B117" i="2"/>
  <c r="B81" i="2"/>
  <c r="B53" i="2"/>
  <c r="B25" i="2"/>
  <c r="B173" i="2"/>
  <c r="B137" i="2"/>
  <c r="B93" i="2"/>
  <c r="B57" i="2"/>
  <c r="B17" i="2"/>
  <c r="B171" i="2"/>
  <c r="B163" i="2"/>
  <c r="B155" i="2"/>
  <c r="B151" i="2"/>
  <c r="B143" i="2"/>
  <c r="B135" i="2"/>
  <c r="B127" i="2"/>
  <c r="B119" i="2"/>
  <c r="B111" i="2"/>
  <c r="B107" i="2"/>
  <c r="B99" i="2"/>
  <c r="B95" i="2"/>
  <c r="B91" i="2"/>
  <c r="B87" i="2"/>
  <c r="B83" i="2"/>
  <c r="B75" i="2"/>
  <c r="B71" i="2"/>
  <c r="B67" i="2"/>
  <c r="B63" i="2"/>
  <c r="B59" i="2"/>
  <c r="B55" i="2"/>
  <c r="B51" i="2"/>
  <c r="B47" i="2"/>
  <c r="B43" i="2"/>
  <c r="B39" i="2"/>
  <c r="B35" i="2"/>
  <c r="B31" i="2"/>
  <c r="B27" i="2"/>
  <c r="B23" i="2"/>
  <c r="B19" i="2"/>
  <c r="B15" i="2"/>
  <c r="B11" i="2"/>
  <c r="B165" i="2"/>
  <c r="B129" i="2"/>
  <c r="B89" i="2"/>
  <c r="B49" i="2"/>
  <c r="B13" i="2"/>
  <c r="B175" i="2"/>
  <c r="B167" i="2"/>
  <c r="B159" i="2"/>
  <c r="B147" i="2"/>
  <c r="B139" i="2"/>
  <c r="B131" i="2"/>
  <c r="B123" i="2"/>
  <c r="B115" i="2"/>
  <c r="B103" i="2"/>
  <c r="B79" i="2"/>
  <c r="B141" i="2"/>
  <c r="B109" i="2"/>
  <c r="B73" i="2"/>
  <c r="B37" i="2"/>
  <c r="B169" i="2"/>
  <c r="B113" i="2"/>
  <c r="B41" i="2"/>
  <c r="B102" i="2"/>
  <c r="B98" i="2"/>
  <c r="B94" i="2"/>
  <c r="B90" i="2"/>
  <c r="B86" i="2"/>
  <c r="B82" i="2"/>
  <c r="B78" i="2"/>
  <c r="B74" i="2"/>
  <c r="B70" i="2"/>
  <c r="B66" i="2"/>
  <c r="B62" i="2"/>
  <c r="B58" i="2"/>
  <c r="B54" i="2"/>
  <c r="B50" i="2"/>
  <c r="B46" i="2"/>
  <c r="B42" i="2"/>
  <c r="B38" i="2"/>
  <c r="B34" i="2"/>
  <c r="B30" i="2"/>
  <c r="B26" i="2"/>
  <c r="B22" i="2"/>
  <c r="B18" i="2"/>
  <c r="B14" i="2"/>
  <c r="B10" i="2"/>
  <c r="B149" i="2"/>
  <c r="B121" i="2"/>
  <c r="B85" i="2"/>
  <c r="B45" i="2"/>
  <c r="B29" i="2"/>
  <c r="R9" i="2"/>
  <c r="E9" i="2" l="1"/>
  <c r="D9" i="2"/>
  <c r="C9" i="2"/>
  <c r="B9" i="2" s="1"/>
  <c r="R6" i="2"/>
</calcChain>
</file>

<file path=xl/sharedStrings.xml><?xml version="1.0" encoding="utf-8"?>
<sst xmlns="http://schemas.openxmlformats.org/spreadsheetml/2006/main" count="930" uniqueCount="198">
  <si>
    <r>
      <rPr>
        <sz val="7.5"/>
        <rFont val="Arial"/>
        <family val="2"/>
      </rPr>
      <t>Baker Rd</t>
    </r>
  </si>
  <si>
    <r>
      <rPr>
        <sz val="7.5"/>
        <rFont val="Arial"/>
        <family val="2"/>
      </rPr>
      <t>SR-5</t>
    </r>
  </si>
  <si>
    <r>
      <rPr>
        <sz val="7.5"/>
        <rFont val="Arial"/>
        <family val="2"/>
      </rPr>
      <t>Green River Pkwy</t>
    </r>
  </si>
  <si>
    <r>
      <rPr>
        <sz val="7"/>
        <rFont val="Arial"/>
        <family val="2"/>
      </rPr>
      <t>C3R</t>
    </r>
  </si>
  <si>
    <r>
      <rPr>
        <sz val="7.5"/>
        <rFont val="Arial"/>
        <family val="2"/>
      </rPr>
      <t>C</t>
    </r>
  </si>
  <si>
    <r>
      <rPr>
        <sz val="7.5"/>
        <rFont val="Arial"/>
        <family val="2"/>
      </rPr>
      <t>Berry Ave</t>
    </r>
  </si>
  <si>
    <r>
      <rPr>
        <sz val="7.5"/>
        <rFont val="Arial"/>
        <family val="2"/>
      </rPr>
      <t>Golden Bear Wy</t>
    </r>
  </si>
  <si>
    <r>
      <rPr>
        <sz val="7.5"/>
        <rFont val="Arial"/>
        <family val="2"/>
      </rPr>
      <t>CR-714</t>
    </r>
  </si>
  <si>
    <r>
      <rPr>
        <sz val="7.5"/>
        <rFont val="Arial"/>
        <family val="2"/>
      </rPr>
      <t>Sunset Tr</t>
    </r>
  </si>
  <si>
    <r>
      <rPr>
        <sz val="7.5"/>
        <rFont val="Arial"/>
        <family val="2"/>
      </rPr>
      <t>Britt Rd</t>
    </r>
  </si>
  <si>
    <r>
      <rPr>
        <sz val="7.5"/>
        <rFont val="Arial"/>
        <family val="2"/>
      </rPr>
      <t>Pine Lake Dr</t>
    </r>
  </si>
  <si>
    <r>
      <rPr>
        <sz val="7"/>
        <rFont val="Arial"/>
        <family val="2"/>
      </rPr>
      <t>C3C</t>
    </r>
  </si>
  <si>
    <r>
      <rPr>
        <sz val="7.5"/>
        <rFont val="Arial"/>
        <family val="2"/>
      </rPr>
      <t>Newfield Pkwy</t>
    </r>
  </si>
  <si>
    <r>
      <rPr>
        <sz val="7.5"/>
        <rFont val="Arial"/>
        <family val="2"/>
      </rPr>
      <t>SR-714 (Martin Hwy)</t>
    </r>
  </si>
  <si>
    <r>
      <rPr>
        <sz val="7.5"/>
        <rFont val="Arial"/>
        <family val="2"/>
      </rPr>
      <t>Port St. Lucie Blvd.</t>
    </r>
  </si>
  <si>
    <r>
      <rPr>
        <sz val="7"/>
        <rFont val="Arial"/>
        <family val="2"/>
      </rPr>
      <t>C2</t>
    </r>
  </si>
  <si>
    <r>
      <rPr>
        <sz val="7.5"/>
        <rFont val="Arial"/>
        <family val="2"/>
      </rPr>
      <t>D</t>
    </r>
  </si>
  <si>
    <r>
      <rPr>
        <sz val="7.5"/>
        <rFont val="Arial"/>
        <family val="2"/>
      </rPr>
      <t>Commerce Ave</t>
    </r>
  </si>
  <si>
    <r>
      <rPr>
        <sz val="7.5"/>
        <rFont val="Arial"/>
        <family val="2"/>
      </rPr>
      <t>Salerno Rd</t>
    </r>
  </si>
  <si>
    <r>
      <rPr>
        <sz val="7.5"/>
        <rFont val="Arial"/>
        <family val="2"/>
      </rPr>
      <t>Monroe St</t>
    </r>
  </si>
  <si>
    <r>
      <rPr>
        <sz val="7.5"/>
        <color rgb="FF5F4879"/>
        <rFont val="Arial"/>
        <family val="2"/>
      </rPr>
      <t>TCEA</t>
    </r>
  </si>
  <si>
    <r>
      <rPr>
        <sz val="7.5"/>
        <rFont val="Arial"/>
        <family val="2"/>
      </rPr>
      <t>Indian St</t>
    </r>
  </si>
  <si>
    <r>
      <rPr>
        <sz val="7.5"/>
        <rFont val="Arial"/>
        <family val="2"/>
      </rPr>
      <t>Country Club Dr</t>
    </r>
  </si>
  <si>
    <r>
      <rPr>
        <sz val="7.5"/>
        <rFont val="Arial"/>
        <family val="2"/>
      </rPr>
      <t>Palm Beach County</t>
    </r>
  </si>
  <si>
    <r>
      <rPr>
        <sz val="7.5"/>
        <rFont val="Arial"/>
        <family val="2"/>
      </rPr>
      <t>Island Way</t>
    </r>
  </si>
  <si>
    <r>
      <rPr>
        <sz val="7.5"/>
        <rFont val="Arial"/>
        <family val="2"/>
      </rPr>
      <t>Little Club Dr</t>
    </r>
  </si>
  <si>
    <r>
      <rPr>
        <sz val="7.5"/>
        <rFont val="Arial"/>
        <family val="2"/>
      </rPr>
      <t>County Line Rd</t>
    </r>
  </si>
  <si>
    <r>
      <rPr>
        <sz val="7.5"/>
        <rFont val="Arial"/>
        <family val="2"/>
      </rPr>
      <t>Cove Rd</t>
    </r>
  </si>
  <si>
    <r>
      <rPr>
        <sz val="7.5"/>
        <rFont val="Arial"/>
        <family val="2"/>
      </rPr>
      <t>SR-76</t>
    </r>
  </si>
  <si>
    <r>
      <rPr>
        <sz val="7.5"/>
        <rFont val="Arial"/>
        <family val="2"/>
      </rPr>
      <t>Willoughby Blvd</t>
    </r>
  </si>
  <si>
    <r>
      <rPr>
        <sz val="7.5"/>
        <rFont val="Arial"/>
        <family val="2"/>
      </rPr>
      <t>CR-A1A</t>
    </r>
  </si>
  <si>
    <r>
      <rPr>
        <sz val="7"/>
        <rFont val="Arial"/>
        <family val="2"/>
      </rPr>
      <t>C4</t>
    </r>
  </si>
  <si>
    <r>
      <rPr>
        <sz val="7.5"/>
        <rFont val="Arial"/>
        <family val="2"/>
      </rPr>
      <t>End</t>
    </r>
  </si>
  <si>
    <r>
      <rPr>
        <sz val="7.5"/>
        <rFont val="Arial"/>
        <family val="2"/>
      </rPr>
      <t>CR-609 (Allapattah Rd)</t>
    </r>
  </si>
  <si>
    <r>
      <rPr>
        <sz val="7.5"/>
        <rFont val="Arial"/>
        <family val="2"/>
      </rPr>
      <t>SR-710</t>
    </r>
  </si>
  <si>
    <r>
      <rPr>
        <sz val="7.5"/>
        <rFont val="Arial"/>
        <family val="2"/>
      </rPr>
      <t>A/B</t>
    </r>
  </si>
  <si>
    <r>
      <rPr>
        <sz val="7.5"/>
        <rFont val="Arial"/>
        <family val="2"/>
      </rPr>
      <t>St Lucie County</t>
    </r>
  </si>
  <si>
    <r>
      <rPr>
        <sz val="7.5"/>
        <rFont val="Arial"/>
        <family val="2"/>
      </rPr>
      <t>CR-707 (Beach Rd)</t>
    </r>
  </si>
  <si>
    <r>
      <rPr>
        <sz val="7.5"/>
        <rFont val="Arial"/>
        <family val="2"/>
      </rPr>
      <t>CR-708</t>
    </r>
  </si>
  <si>
    <r>
      <rPr>
        <sz val="7.5"/>
        <rFont val="Arial"/>
        <family val="2"/>
      </rPr>
      <t>CR-707 (Dixie Hwy)</t>
    </r>
  </si>
  <si>
    <r>
      <rPr>
        <sz val="7.5"/>
        <rFont val="Arial"/>
        <family val="2"/>
      </rPr>
      <t>CR-723/CR-707</t>
    </r>
  </si>
  <si>
    <r>
      <rPr>
        <sz val="7.5"/>
        <rFont val="Arial"/>
        <family val="2"/>
      </rPr>
      <t>CR-707 (Indian River Dr)</t>
    </r>
  </si>
  <si>
    <r>
      <rPr>
        <sz val="7.5"/>
        <rFont val="Arial"/>
        <family val="2"/>
      </rPr>
      <t>CR-707A (Jensen Beach Blvd.)</t>
    </r>
  </si>
  <si>
    <r>
      <rPr>
        <sz val="7.5"/>
        <rFont val="Arial"/>
        <family val="2"/>
      </rPr>
      <t>CR-707A</t>
    </r>
  </si>
  <si>
    <r>
      <rPr>
        <sz val="7.5"/>
        <rFont val="Arial"/>
        <family val="2"/>
      </rPr>
      <t>SR-732</t>
    </r>
  </si>
  <si>
    <r>
      <rPr>
        <sz val="7.5"/>
        <rFont val="Arial"/>
        <family val="2"/>
      </rPr>
      <t>St. Lucie County</t>
    </r>
  </si>
  <si>
    <r>
      <rPr>
        <sz val="7.5"/>
        <rFont val="Arial"/>
        <family val="2"/>
      </rPr>
      <t>CR-707A (Jensen Beach Blvd)</t>
    </r>
  </si>
  <si>
    <r>
      <rPr>
        <sz val="7.5"/>
        <rFont val="Arial"/>
        <family val="2"/>
      </rPr>
      <t>CR-723</t>
    </r>
  </si>
  <si>
    <r>
      <rPr>
        <sz val="7.5"/>
        <rFont val="Arial"/>
        <family val="2"/>
      </rPr>
      <t>Skyline Dr</t>
    </r>
  </si>
  <si>
    <r>
      <rPr>
        <sz val="7.5"/>
        <rFont val="Arial"/>
        <family val="2"/>
      </rPr>
      <t>Pineapple Way</t>
    </r>
  </si>
  <si>
    <r>
      <rPr>
        <sz val="7.5"/>
        <rFont val="Arial"/>
        <family val="2"/>
      </rPr>
      <t>Pineapple Wy</t>
    </r>
  </si>
  <si>
    <r>
      <rPr>
        <sz val="7.5"/>
        <rFont val="Arial"/>
        <family val="2"/>
      </rPr>
      <t>CR-707</t>
    </r>
  </si>
  <si>
    <r>
      <rPr>
        <sz val="7.5"/>
        <rFont val="Arial"/>
        <family val="2"/>
      </rPr>
      <t>CR-708 (Bridge Rd)</t>
    </r>
  </si>
  <si>
    <r>
      <rPr>
        <sz val="7.5"/>
        <rFont val="Arial"/>
        <family val="2"/>
      </rPr>
      <t>CR-711</t>
    </r>
  </si>
  <si>
    <r>
      <rPr>
        <sz val="7.5"/>
        <rFont val="Arial"/>
        <family val="2"/>
      </rPr>
      <t>I-95</t>
    </r>
  </si>
  <si>
    <r>
      <rPr>
        <sz val="7.5"/>
        <rFont val="Arial"/>
        <family val="2"/>
      </rPr>
      <t>Powerline Ave</t>
    </r>
  </si>
  <si>
    <r>
      <rPr>
        <sz val="7.5"/>
        <rFont val="Arial"/>
        <family val="2"/>
      </rPr>
      <t>Gomez Ave</t>
    </r>
  </si>
  <si>
    <r>
      <rPr>
        <sz val="7.5"/>
        <rFont val="Arial"/>
        <family val="2"/>
      </rPr>
      <t>CR-711 (Pratt Whitney Rd)</t>
    </r>
  </si>
  <si>
    <r>
      <rPr>
        <sz val="7.5"/>
        <rFont val="Arial"/>
        <family val="2"/>
      </rPr>
      <t>Meadowlark Cir</t>
    </r>
  </si>
  <si>
    <r>
      <rPr>
        <sz val="7.5"/>
        <rFont val="Arial"/>
        <family val="2"/>
      </rPr>
      <t>CR-713 (High Meadow Ave)</t>
    </r>
  </si>
  <si>
    <r>
      <rPr>
        <sz val="7.5"/>
        <rFont val="Arial"/>
        <family val="2"/>
      </rPr>
      <t>E</t>
    </r>
  </si>
  <si>
    <r>
      <rPr>
        <sz val="7.5"/>
        <rFont val="Arial"/>
        <family val="2"/>
      </rPr>
      <t>SR-714</t>
    </r>
  </si>
  <si>
    <r>
      <rPr>
        <sz val="7.5"/>
        <rFont val="Arial"/>
        <family val="2"/>
      </rPr>
      <t>Murphy Rd</t>
    </r>
  </si>
  <si>
    <r>
      <rPr>
        <sz val="7.5"/>
        <rFont val="Arial"/>
        <family val="2"/>
      </rPr>
      <t>CR-714 (Martin Hwy)</t>
    </r>
  </si>
  <si>
    <r>
      <rPr>
        <sz val="7.5"/>
        <rFont val="Arial"/>
        <family val="2"/>
      </rPr>
      <t>Fox Brown Rd</t>
    </r>
  </si>
  <si>
    <r>
      <rPr>
        <sz val="7.5"/>
        <rFont val="Arial"/>
        <family val="2"/>
      </rPr>
      <t>CR-609</t>
    </r>
  </si>
  <si>
    <r>
      <rPr>
        <sz val="7.5"/>
        <rFont val="Arial"/>
        <family val="2"/>
      </rPr>
      <t>Florida's Turnpike</t>
    </r>
  </si>
  <si>
    <r>
      <rPr>
        <sz val="7.5"/>
        <rFont val="Arial"/>
        <family val="2"/>
      </rPr>
      <t>CR-713</t>
    </r>
  </si>
  <si>
    <r>
      <rPr>
        <sz val="7.5"/>
        <rFont val="Arial"/>
        <family val="2"/>
      </rPr>
      <t>Mapp Rd</t>
    </r>
  </si>
  <si>
    <r>
      <rPr>
        <sz val="7.5"/>
        <rFont val="Arial"/>
        <family val="2"/>
      </rPr>
      <t>CR-714 (Veteran's Memorial Bridge)</t>
    </r>
  </si>
  <si>
    <r>
      <rPr>
        <sz val="7.5"/>
        <rFont val="Arial"/>
        <family val="2"/>
      </rPr>
      <t>CR-723 (Savanna Rd)</t>
    </r>
  </si>
  <si>
    <r>
      <rPr>
        <sz val="7.5"/>
        <rFont val="Arial"/>
        <family val="2"/>
      </rPr>
      <t>NE 24th St</t>
    </r>
  </si>
  <si>
    <r>
      <rPr>
        <sz val="7.5"/>
        <rFont val="Arial"/>
        <family val="2"/>
      </rPr>
      <t>CR-726 (Citrus Blvd)</t>
    </r>
  </si>
  <si>
    <r>
      <rPr>
        <sz val="7.5"/>
        <rFont val="Arial"/>
        <family val="2"/>
      </rPr>
      <t>Greenridge Ln</t>
    </r>
  </si>
  <si>
    <r>
      <rPr>
        <sz val="7.5"/>
        <rFont val="Arial"/>
        <family val="2"/>
      </rPr>
      <t>CR-76A</t>
    </r>
  </si>
  <si>
    <r>
      <rPr>
        <sz val="7.5"/>
        <rFont val="Arial"/>
        <family val="2"/>
      </rPr>
      <t>CR-76A (Citrus Blvd.)</t>
    </r>
  </si>
  <si>
    <r>
      <rPr>
        <sz val="7.5"/>
        <rFont val="Arial"/>
        <family val="2"/>
      </rPr>
      <t>CR-726</t>
    </r>
  </si>
  <si>
    <r>
      <rPr>
        <sz val="7.5"/>
        <rFont val="Arial"/>
        <family val="2"/>
      </rPr>
      <t>CR-76A (SW 96th St)</t>
    </r>
  </si>
  <si>
    <r>
      <rPr>
        <sz val="7.5"/>
        <rFont val="Arial"/>
        <family val="2"/>
      </rPr>
      <t>Bobcat Dr</t>
    </r>
  </si>
  <si>
    <r>
      <rPr>
        <sz val="7.5"/>
        <rFont val="Arial"/>
        <family val="2"/>
      </rPr>
      <t>CR-A1A (Dixie Hwy)</t>
    </r>
  </si>
  <si>
    <r>
      <rPr>
        <sz val="7.5"/>
        <rFont val="Arial"/>
        <family val="2"/>
      </rPr>
      <t>Osprey St</t>
    </r>
  </si>
  <si>
    <r>
      <rPr>
        <sz val="7.5"/>
        <rFont val="Arial"/>
        <family val="2"/>
      </rPr>
      <t>Heritage Blvd</t>
    </r>
  </si>
  <si>
    <r>
      <rPr>
        <sz val="7.5"/>
        <rFont val="Arial"/>
        <family val="2"/>
      </rPr>
      <t>St. Lucie Blvd</t>
    </r>
  </si>
  <si>
    <r>
      <rPr>
        <sz val="7.5"/>
        <rFont val="Arial"/>
        <family val="2"/>
      </rPr>
      <t>St Lucie Blvd</t>
    </r>
  </si>
  <si>
    <r>
      <rPr>
        <sz val="7.5"/>
        <rFont val="Arial"/>
        <family val="2"/>
      </rPr>
      <t>Jefferson St</t>
    </r>
  </si>
  <si>
    <r>
      <rPr>
        <sz val="7.5"/>
        <color rgb="FF5F4879"/>
        <rFont val="Arial"/>
        <family val="2"/>
      </rPr>
      <t>C</t>
    </r>
  </si>
  <si>
    <r>
      <rPr>
        <sz val="7.5"/>
        <rFont val="Arial"/>
        <family val="2"/>
      </rPr>
      <t>SE Fifth St</t>
    </r>
  </si>
  <si>
    <r>
      <rPr>
        <sz val="7.5"/>
        <rFont val="Arial"/>
        <family val="2"/>
      </rPr>
      <t>Farm Rd</t>
    </r>
  </si>
  <si>
    <r>
      <rPr>
        <sz val="7.5"/>
        <rFont val="Arial"/>
        <family val="2"/>
      </rPr>
      <t>Dr Martin Luther King Jr Dr</t>
    </r>
  </si>
  <si>
    <r>
      <rPr>
        <sz val="7.5"/>
        <rFont val="Arial"/>
        <family val="2"/>
      </rPr>
      <t>Palm Wy</t>
    </r>
  </si>
  <si>
    <r>
      <rPr>
        <sz val="7.5"/>
        <rFont val="Arial"/>
        <family val="2"/>
      </rPr>
      <t>Goldenrod Rd</t>
    </r>
  </si>
  <si>
    <r>
      <rPr>
        <sz val="7.5"/>
        <rFont val="Arial"/>
        <family val="2"/>
      </rPr>
      <t>Westmoreland Blvd</t>
    </r>
  </si>
  <si>
    <r>
      <rPr>
        <sz val="7.5"/>
        <rFont val="Arial"/>
        <family val="2"/>
      </rPr>
      <t>Crossrip St</t>
    </r>
  </si>
  <si>
    <r>
      <rPr>
        <sz val="7.5"/>
        <rFont val="Arial"/>
        <family val="2"/>
      </rPr>
      <t>Green River Parkway</t>
    </r>
  </si>
  <si>
    <r>
      <rPr>
        <sz val="7.5"/>
        <rFont val="Arial"/>
        <family val="2"/>
      </rPr>
      <t>Dixie Hwy</t>
    </r>
  </si>
  <si>
    <r>
      <rPr>
        <sz val="7.5"/>
        <rFont val="Arial"/>
        <family val="2"/>
      </rPr>
      <t>Horseshoe Point Rd</t>
    </r>
  </si>
  <si>
    <r>
      <rPr>
        <sz val="7.5"/>
        <rFont val="Arial"/>
        <family val="2"/>
      </rPr>
      <t>Kubin Ave</t>
    </r>
  </si>
  <si>
    <r>
      <rPr>
        <sz val="7.5"/>
        <rFont val="Arial"/>
        <family val="2"/>
      </rPr>
      <t>Indian River Dr</t>
    </r>
  </si>
  <si>
    <r>
      <rPr>
        <sz val="7.5"/>
        <rFont val="Arial"/>
        <family val="2"/>
      </rPr>
      <t>Palmer St</t>
    </r>
  </si>
  <si>
    <r>
      <rPr>
        <sz val="7.5"/>
        <rFont val="Arial"/>
        <family val="2"/>
      </rPr>
      <t>Jupiter Road</t>
    </r>
  </si>
  <si>
    <r>
      <rPr>
        <sz val="7.5"/>
        <rFont val="Arial"/>
        <family val="2"/>
      </rPr>
      <t>Jack James Rd</t>
    </r>
  </si>
  <si>
    <r>
      <rPr>
        <sz val="7.5"/>
        <rFont val="Arial"/>
        <family val="2"/>
      </rPr>
      <t>Blue Water Wy</t>
    </r>
  </si>
  <si>
    <r>
      <rPr>
        <sz val="7.5"/>
        <rFont val="Arial"/>
        <family val="2"/>
      </rPr>
      <t>Lares St</t>
    </r>
  </si>
  <si>
    <r>
      <rPr>
        <sz val="7.5"/>
        <rFont val="Arial"/>
        <family val="2"/>
      </rPr>
      <t>Little Club Wy</t>
    </r>
  </si>
  <si>
    <r>
      <rPr>
        <sz val="7.5"/>
        <rFont val="Arial"/>
        <family val="2"/>
      </rPr>
      <t>Wooden Bridge Wy</t>
    </r>
  </si>
  <si>
    <r>
      <rPr>
        <sz val="7.5"/>
        <rFont val="Arial"/>
        <family val="2"/>
      </rPr>
      <t>Locks Rd</t>
    </r>
  </si>
  <si>
    <r>
      <rPr>
        <sz val="7.5"/>
        <rFont val="Arial"/>
        <family val="2"/>
      </rPr>
      <t>Canal St</t>
    </r>
  </si>
  <si>
    <r>
      <rPr>
        <sz val="7.5"/>
        <rFont val="Arial"/>
        <family val="2"/>
      </rPr>
      <t>MacArthur Blvd</t>
    </r>
  </si>
  <si>
    <r>
      <rPr>
        <sz val="7.5"/>
        <rFont val="Arial"/>
        <family val="2"/>
      </rPr>
      <t>Sailfish Point</t>
    </r>
  </si>
  <si>
    <r>
      <rPr>
        <sz val="7.5"/>
        <rFont val="Arial"/>
        <family val="2"/>
      </rPr>
      <t>SR-A1A</t>
    </r>
  </si>
  <si>
    <r>
      <rPr>
        <sz val="7.5"/>
        <rFont val="Arial"/>
        <family val="2"/>
      </rPr>
      <t>South End</t>
    </r>
  </si>
  <si>
    <r>
      <rPr>
        <sz val="7.5"/>
        <rFont val="Arial"/>
        <family val="2"/>
      </rPr>
      <t>Matheson Ave</t>
    </r>
  </si>
  <si>
    <r>
      <rPr>
        <sz val="7.5"/>
        <rFont val="Arial"/>
        <family val="2"/>
      </rPr>
      <t>North End</t>
    </r>
  </si>
  <si>
    <r>
      <rPr>
        <sz val="7.5"/>
        <rFont val="Arial"/>
        <family val="2"/>
      </rPr>
      <t>High Meadow Ave</t>
    </r>
  </si>
  <si>
    <r>
      <rPr>
        <sz val="7.5"/>
        <rFont val="Arial"/>
        <family val="2"/>
      </rPr>
      <t>Ocean Blvd</t>
    </r>
  </si>
  <si>
    <r>
      <rPr>
        <sz val="7.5"/>
        <rFont val="Arial"/>
        <family val="2"/>
      </rPr>
      <t>Flagler Ave</t>
    </r>
  </si>
  <si>
    <r>
      <rPr>
        <sz val="7.5"/>
        <rFont val="Arial"/>
        <family val="2"/>
      </rPr>
      <t>Palm Beach Rd</t>
    </r>
  </si>
  <si>
    <r>
      <rPr>
        <sz val="7.5"/>
        <rFont val="Arial"/>
        <family val="2"/>
      </rPr>
      <t>Palm City Rd</t>
    </r>
  </si>
  <si>
    <r>
      <rPr>
        <sz val="7.5"/>
        <rFont val="Arial"/>
        <family val="2"/>
      </rPr>
      <t>CR-707A(Jensen Beach Blvd.)</t>
    </r>
  </si>
  <si>
    <r>
      <rPr>
        <sz val="7.5"/>
        <rFont val="Arial"/>
        <family val="2"/>
      </rPr>
      <t>Pomeroy St</t>
    </r>
  </si>
  <si>
    <r>
      <rPr>
        <sz val="7.5"/>
        <rFont val="Arial"/>
        <family val="2"/>
      </rPr>
      <t>Seabranch Blvd</t>
    </r>
  </si>
  <si>
    <r>
      <rPr>
        <sz val="7.5"/>
        <rFont val="Arial"/>
        <family val="2"/>
      </rPr>
      <t>Doubletree Dr</t>
    </r>
  </si>
  <si>
    <r>
      <rPr>
        <sz val="7.5"/>
        <rFont val="Arial"/>
        <family val="2"/>
      </rPr>
      <t>Sewalls Pt Rd</t>
    </r>
  </si>
  <si>
    <r>
      <rPr>
        <sz val="7.5"/>
        <rFont val="Arial"/>
        <family val="2"/>
      </rPr>
      <t>SR-5 (US-1)</t>
    </r>
  </si>
  <si>
    <r>
      <rPr>
        <sz val="7.5"/>
        <rFont val="Arial"/>
        <family val="2"/>
      </rPr>
      <t>SR-5A</t>
    </r>
  </si>
  <si>
    <r>
      <rPr>
        <sz val="7.5"/>
        <rFont val="Arial"/>
        <family val="2"/>
      </rPr>
      <t>SR-5A(Cut-off Rd)</t>
    </r>
  </si>
  <si>
    <r>
      <rPr>
        <sz val="7.5"/>
        <rFont val="Arial"/>
        <family val="2"/>
      </rPr>
      <t>Joan Jefferson Wy</t>
    </r>
  </si>
  <si>
    <r>
      <rPr>
        <sz val="7.5"/>
        <rFont val="Arial"/>
        <family val="2"/>
      </rPr>
      <t>Wright Blvd</t>
    </r>
  </si>
  <si>
    <r>
      <rPr>
        <sz val="7.5"/>
        <rFont val="Arial"/>
        <family val="2"/>
      </rPr>
      <t>SR-710 (Warfield Blvd)</t>
    </r>
  </si>
  <si>
    <r>
      <rPr>
        <sz val="7.5"/>
        <rFont val="Arial"/>
        <family val="2"/>
      </rPr>
      <t>Okeechobee County</t>
    </r>
  </si>
  <si>
    <r>
      <rPr>
        <sz val="7.5"/>
        <rFont val="Arial"/>
        <family val="2"/>
      </rPr>
      <t>CR-609 (Allapattah)</t>
    </r>
  </si>
  <si>
    <r>
      <rPr>
        <sz val="7.5"/>
        <rFont val="Arial"/>
        <family val="2"/>
      </rPr>
      <t>Van Buren</t>
    </r>
  </si>
  <si>
    <r>
      <rPr>
        <sz val="7"/>
        <rFont val="Arial"/>
        <family val="2"/>
      </rPr>
      <t>C2_T</t>
    </r>
  </si>
  <si>
    <r>
      <rPr>
        <sz val="7.5"/>
        <rFont val="Arial"/>
        <family val="2"/>
      </rPr>
      <t>CR-726 (Citrus)</t>
    </r>
  </si>
  <si>
    <r>
      <rPr>
        <sz val="7.5"/>
        <rFont val="Arial"/>
        <family val="2"/>
      </rPr>
      <t>SR-76 (Kanner)</t>
    </r>
  </si>
  <si>
    <r>
      <rPr>
        <sz val="7.5"/>
        <rFont val="Arial"/>
        <family val="2"/>
      </rPr>
      <t>CR-76A (Citrus)</t>
    </r>
  </si>
  <si>
    <r>
      <rPr>
        <sz val="7.5"/>
        <rFont val="Arial"/>
        <family val="2"/>
      </rPr>
      <t>SR-714 (Martin Downs Blvd)</t>
    </r>
  </si>
  <si>
    <r>
      <rPr>
        <sz val="7.5"/>
        <rFont val="Arial"/>
        <family val="2"/>
      </rPr>
      <t>SR-714 (Palm City Bridge)</t>
    </r>
  </si>
  <si>
    <r>
      <rPr>
        <sz val="7.5"/>
        <rFont val="Arial"/>
        <family val="2"/>
      </rPr>
      <t>SR-714 (Monterey Rd)</t>
    </r>
  </si>
  <si>
    <r>
      <rPr>
        <sz val="7.5"/>
        <rFont val="Arial"/>
        <family val="2"/>
      </rPr>
      <t>Monterey Extension</t>
    </r>
  </si>
  <si>
    <r>
      <rPr>
        <sz val="7.5"/>
        <rFont val="Arial"/>
        <family val="2"/>
      </rPr>
      <t>SR-732 (Causeway Blvd)</t>
    </r>
  </si>
  <si>
    <r>
      <rPr>
        <sz val="7.5"/>
        <rFont val="Arial"/>
        <family val="2"/>
      </rPr>
      <t>SR-732 (Jensen Beach Blvd)</t>
    </r>
  </si>
  <si>
    <r>
      <rPr>
        <sz val="7.5"/>
        <rFont val="Arial"/>
        <family val="2"/>
      </rPr>
      <t>SR-76 (Kanner Hwy)</t>
    </r>
  </si>
  <si>
    <r>
      <rPr>
        <sz val="7.5"/>
        <rFont val="Arial"/>
        <family val="2"/>
      </rPr>
      <t>SR-15</t>
    </r>
  </si>
  <si>
    <r>
      <rPr>
        <sz val="7.5"/>
        <rFont val="Arial"/>
        <family val="2"/>
      </rPr>
      <t>Waterside</t>
    </r>
  </si>
  <si>
    <r>
      <rPr>
        <sz val="7.5"/>
        <rFont val="Arial"/>
        <family val="2"/>
      </rPr>
      <t>CR-711/CR-76A</t>
    </r>
  </si>
  <si>
    <r>
      <rPr>
        <sz val="7.5"/>
        <rFont val="Arial"/>
        <family val="2"/>
      </rPr>
      <t>CR-711/CR76A</t>
    </r>
  </si>
  <si>
    <r>
      <rPr>
        <sz val="7.5"/>
        <rFont val="Arial"/>
        <family val="2"/>
      </rPr>
      <t>Jack James</t>
    </r>
  </si>
  <si>
    <r>
      <rPr>
        <sz val="7.5"/>
        <rFont val="Arial"/>
        <family val="2"/>
      </rPr>
      <t>SR-A1A (Ocean Blvd)</t>
    </r>
  </si>
  <si>
    <r>
      <rPr>
        <sz val="7.5"/>
        <rFont val="Arial"/>
        <family val="2"/>
      </rPr>
      <t>Sewalls Point Rd</t>
    </r>
  </si>
  <si>
    <r>
      <rPr>
        <sz val="7.5"/>
        <rFont val="Arial"/>
        <family val="2"/>
      </rPr>
      <t>Macarthur Blvd</t>
    </r>
  </si>
  <si>
    <r>
      <rPr>
        <sz val="7.5"/>
        <rFont val="Arial"/>
        <family val="2"/>
      </rPr>
      <t>Dixie Highway</t>
    </r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</si>
  <si>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</si>
  <si>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</si>
  <si>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</si>
  <si>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</si>
  <si>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</si>
  <si>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</si>
  <si>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</si>
  <si>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</si>
  <si>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</si>
  <si>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</si>
  <si>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</si>
  <si>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</si>
  <si>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</si>
  <si>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</si>
  <si>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</si>
  <si>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</si>
  <si>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</si>
  <si>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</si>
  <si>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</si>
  <si>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</si>
  <si>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</si>
  <si>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</si>
  <si>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</si>
  <si>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</si>
  <si>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</si>
  <si>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</si>
  <si>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</si>
  <si>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</si>
  <si>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</si>
  <si>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</si>
  <si>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B</t>
  </si>
  <si>
    <t>C</t>
  </si>
  <si>
    <t>D</t>
  </si>
  <si>
    <t>E</t>
  </si>
  <si>
    <t>Road Name</t>
  </si>
  <si>
    <t>Context Classification</t>
  </si>
  <si>
    <t>Generalized Service Capacity</t>
  </si>
  <si>
    <t>2023 AADT</t>
  </si>
  <si>
    <t>2023 PK HOUR DIRECTIONAL VOL</t>
  </si>
  <si>
    <t>2023 GENERALIZED LOS</t>
  </si>
  <si>
    <t>Avg Annual G.R</t>
  </si>
  <si>
    <t xml:space="preserve">Functoinal </t>
  </si>
  <si>
    <t>Classification</t>
  </si>
  <si>
    <t>Facility</t>
  </si>
  <si>
    <t>Type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</si>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</sst>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0"/>
      <color rgb="FF000000"/>
      <name val="Times New Roman"/>
      <charset val="204"/>
    </font>
    <font>
      <sz val="7.5"/>
      <name val="Arial"/>
      <family val="2"/>
    </font>
    <font>
      <sz val="7"/>
      <name val="Arial"/>
      <family val="2"/>
    </font>
    <font>
      <sz val="7.5"/>
      <color rgb="FF000000"/>
      <name val="Arial"/>
      <family val="2"/>
    </font>
    <font>
      <sz val="7.5"/>
      <color rgb="FF5F4879"/>
      <name val="Arial"/>
      <family val="2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7F7F7F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3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3" fontId="3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center" vertical="top" wrapText="1"/>
    </xf>
    <xf numFmtId="164" fontId="3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7" fillId="4" borderId="0" xfId="0" applyFont="1" applyFill="1"/>
    <xf numFmtId="0" fontId="8" fillId="5" borderId="4" xfId="0" applyFont="1" applyFill="1" applyBorder="1" applyAlignment="1" applyProtection="1">
      <alignment horizontal="center"/>
      <protection locked="0"/>
    </xf>
    <xf numFmtId="0" fontId="8" fillId="5" borderId="7" xfId="0" applyFont="1" applyFill="1" applyBorder="1" applyAlignment="1" applyProtection="1">
      <alignment horizontal="centerContinuous"/>
      <protection locked="0"/>
    </xf>
    <xf numFmtId="0" fontId="8" fillId="5" borderId="8" xfId="0" applyFont="1" applyFill="1" applyBorder="1" applyAlignment="1" applyProtection="1">
      <alignment horizontal="centerContinuous"/>
      <protection locked="0"/>
    </xf>
    <xf numFmtId="0" fontId="8" fillId="5" borderId="11" xfId="0" applyFont="1" applyFill="1" applyBorder="1" applyAlignment="1" applyProtection="1">
      <alignment horizontal="center"/>
      <protection locked="0"/>
    </xf>
    <xf numFmtId="0" fontId="8" fillId="6" borderId="11" xfId="0" applyFont="1" applyFill="1" applyBorder="1" applyAlignment="1" applyProtection="1">
      <alignment horizontal="center"/>
      <protection locked="0"/>
    </xf>
    <xf numFmtId="0" fontId="8" fillId="7" borderId="11" xfId="0" applyFont="1" applyFill="1" applyBorder="1" applyAlignment="1" applyProtection="1">
      <alignment horizontal="center"/>
      <protection locked="0"/>
    </xf>
    <xf numFmtId="0" fontId="8" fillId="8" borderId="11" xfId="0" applyFont="1" applyFill="1" applyBorder="1" applyAlignment="1" applyProtection="1">
      <alignment horizontal="center"/>
      <protection locked="0"/>
    </xf>
    <xf numFmtId="0" fontId="7" fillId="0" borderId="14" xfId="0" applyFont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left" vertical="top" wrapText="1" indent="2"/>
    </xf>
    <xf numFmtId="0" fontId="2" fillId="9" borderId="1" xfId="0" applyFont="1" applyFill="1" applyBorder="1" applyAlignment="1">
      <alignment horizontal="left" vertical="top" wrapText="1" indent="2"/>
    </xf>
    <xf numFmtId="0" fontId="2" fillId="9" borderId="1" xfId="0" applyFont="1" applyFill="1" applyBorder="1" applyAlignment="1">
      <alignment horizontal="left" vertical="top" wrapText="1" indent="3"/>
    </xf>
    <xf numFmtId="0" fontId="2" fillId="9" borderId="2" xfId="0" applyFont="1" applyFill="1" applyBorder="1" applyAlignment="1">
      <alignment horizontal="left" vertical="top" wrapText="1" indent="2"/>
    </xf>
    <xf numFmtId="0" fontId="2" fillId="9" borderId="1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center" vertical="top" wrapText="1"/>
    </xf>
    <xf numFmtId="0" fontId="2" fillId="9" borderId="3" xfId="0" applyFont="1" applyFill="1" applyBorder="1" applyAlignment="1">
      <alignment horizontal="center" vertical="top" wrapText="1"/>
    </xf>
    <xf numFmtId="0" fontId="0" fillId="9" borderId="0" xfId="0" applyFill="1" applyAlignment="1">
      <alignment horizontal="left" vertical="top"/>
    </xf>
    <xf numFmtId="0" fontId="8" fillId="5" borderId="4" xfId="0" applyFont="1" applyFill="1" applyBorder="1" applyAlignment="1" applyProtection="1">
      <alignment horizontal="center" vertical="center"/>
      <protection locked="0"/>
    </xf>
    <xf numFmtId="0" fontId="8" fillId="8" borderId="4" xfId="0" applyFont="1" applyFill="1" applyBorder="1" applyAlignment="1" applyProtection="1">
      <alignment horizontal="center"/>
      <protection locked="0"/>
    </xf>
    <xf numFmtId="0" fontId="8" fillId="8" borderId="16" xfId="0" applyFont="1" applyFill="1" applyBorder="1" applyAlignment="1" applyProtection="1">
      <alignment horizontal="center"/>
      <protection locked="0"/>
    </xf>
    <xf numFmtId="0" fontId="6" fillId="0" borderId="4" xfId="0" applyFont="1" applyBorder="1" applyAlignment="1">
      <alignment horizontal="center" wrapText="1"/>
    </xf>
    <xf numFmtId="0" fontId="0" fillId="0" borderId="14" xfId="0" applyBorder="1" applyAlignment="1">
      <alignment horizontal="left" vertical="top"/>
    </xf>
    <xf numFmtId="0" fontId="0" fillId="9" borderId="14" xfId="0" applyFill="1" applyBorder="1" applyAlignment="1">
      <alignment horizontal="left" vertical="top"/>
    </xf>
    <xf numFmtId="1" fontId="0" fillId="0" borderId="14" xfId="0" applyNumberFormat="1" applyBorder="1" applyAlignment="1">
      <alignment horizontal="left" vertical="top"/>
    </xf>
    <xf numFmtId="2" fontId="7" fillId="0" borderId="14" xfId="1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5" borderId="5" xfId="0" applyFont="1" applyFill="1" applyBorder="1" applyAlignment="1" applyProtection="1">
      <alignment horizontal="center" vertical="center"/>
      <protection locked="0"/>
    </xf>
    <xf numFmtId="0" fontId="8" fillId="5" borderId="6" xfId="0" applyFont="1" applyFill="1" applyBorder="1" applyAlignment="1" applyProtection="1">
      <alignment horizontal="center" vertical="center"/>
      <protection locked="0"/>
    </xf>
    <xf numFmtId="0" fontId="8" fillId="5" borderId="15" xfId="0" applyFont="1" applyFill="1" applyBorder="1" applyAlignment="1" applyProtection="1">
      <alignment horizontal="center" vertical="center"/>
      <protection locked="0"/>
    </xf>
    <xf numFmtId="0" fontId="8" fillId="5" borderId="12" xfId="0" applyFont="1" applyFill="1" applyBorder="1" applyAlignment="1" applyProtection="1">
      <alignment horizontal="center" vertical="center"/>
      <protection locked="0"/>
    </xf>
    <xf numFmtId="0" fontId="8" fillId="5" borderId="13" xfId="0" applyFont="1" applyFill="1" applyBorder="1" applyAlignment="1" applyProtection="1">
      <alignment horizontal="center" vertical="center"/>
      <protection locked="0"/>
    </xf>
    <xf numFmtId="0" fontId="8" fillId="5" borderId="9" xfId="0" applyFont="1" applyFill="1" applyBorder="1" applyAlignment="1" applyProtection="1">
      <alignment horizontal="center"/>
      <protection locked="0"/>
    </xf>
    <xf numFmtId="0" fontId="8" fillId="5" borderId="5" xfId="0" applyFont="1" applyFill="1" applyBorder="1" applyAlignment="1" applyProtection="1">
      <alignment horizontal="center"/>
      <protection locked="0"/>
    </xf>
    <xf numFmtId="0" fontId="8" fillId="5" borderId="6" xfId="0" applyFont="1" applyFill="1" applyBorder="1" applyAlignment="1" applyProtection="1">
      <alignment horizontal="center"/>
      <protection locked="0"/>
    </xf>
    <xf numFmtId="0" fontId="8" fillId="6" borderId="14" xfId="0" applyFont="1" applyFill="1" applyBorder="1" applyAlignment="1" applyProtection="1">
      <alignment horizontal="center"/>
      <protection locked="0"/>
    </xf>
    <xf numFmtId="0" fontId="8" fillId="7" borderId="7" xfId="0" applyFont="1" applyFill="1" applyBorder="1" applyAlignment="1" applyProtection="1">
      <alignment horizontal="center"/>
      <protection locked="0"/>
    </xf>
    <xf numFmtId="0" fontId="8" fillId="7" borderId="8" xfId="0" applyFont="1" applyFill="1" applyBorder="1" applyAlignment="1" applyProtection="1">
      <alignment horizontal="center"/>
      <protection locked="0"/>
    </xf>
    <xf numFmtId="0" fontId="8" fillId="7" borderId="10" xfId="0" applyFont="1" applyFill="1" applyBorder="1" applyAlignment="1" applyProtection="1">
      <alignment horizontal="center"/>
      <protection locked="0"/>
    </xf>
    <xf numFmtId="0" fontId="8" fillId="8" borderId="7" xfId="0" applyFont="1" applyFill="1" applyBorder="1" applyAlignment="1" applyProtection="1">
      <alignment horizontal="center"/>
      <protection locked="0"/>
    </xf>
    <xf numFmtId="0" fontId="8" fillId="8" borderId="8" xfId="0" applyFont="1" applyFill="1" applyBorder="1" applyAlignment="1" applyProtection="1">
      <alignment horizontal="center"/>
      <protection locked="0"/>
    </xf>
    <xf numFmtId="0" fontId="8" fillId="8" borderId="10" xfId="0" applyFont="1" applyFill="1" applyBorder="1" applyAlignment="1" applyProtection="1">
      <alignment horizontal="center"/>
      <protection locked="0"/>
    </xf>
    <xf numFmtId="0" fontId="8" fillId="5" borderId="4" xfId="0" applyFont="1" applyFill="1" applyBorder="1" applyAlignment="1" applyProtection="1">
      <alignment horizontal="center"/>
      <protection locked="0"/>
    </xf>
    <xf numFmtId="0" fontId="8" fillId="5" borderId="11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zoomScale="110" zoomScaleNormal="110" workbookViewId="0">
      <selection activeCell="K5" sqref="K5"/>
    </sheetView>
  </sheetViews>
  <sheetFormatPr defaultRowHeight="13.2" x14ac:dyDescent="0.25"/>
  <cols>
    <col min="1" max="1" width="33.77734375" customWidth="1"/>
    <col min="2" max="2" width="28" customWidth="1"/>
    <col min="3" max="3" width="30.109375" customWidth="1"/>
    <col min="4" max="4" width="16.77734375" style="39" customWidth="1"/>
    <col min="5" max="5" width="20.109375" customWidth="1"/>
    <col min="6" max="6" width="16.77734375" customWidth="1"/>
    <col min="7" max="7" width="24.77734375" customWidth="1"/>
    <col min="8" max="8" width="23.77734375" customWidth="1"/>
    <col min="9" max="9" width="14" customWidth="1"/>
    <col min="10" max="10" width="6.77734375" customWidth="1"/>
  </cols>
  <sheetData>
    <row r="1" spans="1:9" ht="57" customHeight="1" x14ac:dyDescent="0.25">
      <c r="A1" s="30" t="s">
        <v>186</v>
      </c>
      <c r="B1" s="30" t="s">
        <v>172</v>
      </c>
      <c r="C1" s="30" t="s">
        <v>173</v>
      </c>
      <c r="D1" s="31" t="s">
        <v>187</v>
      </c>
      <c r="E1" s="30" t="s">
        <v>188</v>
      </c>
      <c r="F1" s="30" t="s">
        <v>189</v>
      </c>
      <c r="G1" s="30" t="s">
        <v>190</v>
      </c>
      <c r="H1" s="30" t="s">
        <v>191</v>
      </c>
      <c r="I1" s="30" t="s">
        <v>192</v>
      </c>
    </row>
    <row r="2" spans="1:9" ht="23.1" customHeight="1" x14ac:dyDescent="0.25">
      <c r="A2" s="14" t="s">
        <v>0</v>
      </c>
      <c r="B2" s="14" t="s">
        <v>1</v>
      </c>
      <c r="C2" s="15" t="s">
        <v>2</v>
      </c>
      <c r="D2" s="32" t="s">
        <v>3</v>
      </c>
      <c r="E2" s="16">
        <v>1165</v>
      </c>
      <c r="F2" s="17">
        <v>5610</v>
      </c>
      <c r="G2" s="16">
        <v>246</v>
      </c>
      <c r="H2" s="18" t="s">
        <v>4</v>
      </c>
      <c r="I2" s="19">
        <v>1.2E-2</v>
      </c>
    </row>
    <row r="3" spans="1:9" ht="21.9" customHeight="1" x14ac:dyDescent="0.25">
      <c r="A3" s="1" t="s">
        <v>5</v>
      </c>
      <c r="B3" s="1" t="s">
        <v>6</v>
      </c>
      <c r="C3" s="2" t="s">
        <v>7</v>
      </c>
      <c r="D3" s="33" t="s">
        <v>3</v>
      </c>
      <c r="E3" s="3">
        <v>890</v>
      </c>
      <c r="F3" s="4">
        <v>3620</v>
      </c>
      <c r="G3" s="3">
        <v>193</v>
      </c>
      <c r="H3" s="5" t="s">
        <v>4</v>
      </c>
      <c r="I3" s="6">
        <v>8.9999999999999993E-3</v>
      </c>
    </row>
    <row r="4" spans="1:9" ht="21.9" customHeight="1" x14ac:dyDescent="0.25">
      <c r="A4" s="1" t="s">
        <v>5</v>
      </c>
      <c r="B4" s="1" t="s">
        <v>7</v>
      </c>
      <c r="C4" s="2" t="s">
        <v>8</v>
      </c>
      <c r="D4" s="33" t="s">
        <v>3</v>
      </c>
      <c r="E4" s="3">
        <v>890</v>
      </c>
      <c r="F4" s="4">
        <v>2149</v>
      </c>
      <c r="G4" s="3">
        <v>104</v>
      </c>
      <c r="H4" s="5" t="s">
        <v>4</v>
      </c>
      <c r="I4" s="6">
        <v>4.3999999999999997E-2</v>
      </c>
    </row>
    <row r="5" spans="1:9" ht="23.1" customHeight="1" x14ac:dyDescent="0.25">
      <c r="A5" s="1" t="s">
        <v>9</v>
      </c>
      <c r="B5" s="1" t="s">
        <v>10</v>
      </c>
      <c r="C5" s="2" t="s">
        <v>1</v>
      </c>
      <c r="D5" s="33" t="s">
        <v>11</v>
      </c>
      <c r="E5" s="3">
        <v>1125</v>
      </c>
      <c r="F5" s="4">
        <v>4492</v>
      </c>
      <c r="G5" s="3">
        <v>204</v>
      </c>
      <c r="H5" s="5" t="s">
        <v>4</v>
      </c>
      <c r="I5" s="6">
        <v>5.0000000000000001E-3</v>
      </c>
    </row>
    <row r="6" spans="1:9" ht="21.9" customHeight="1" x14ac:dyDescent="0.25">
      <c r="A6" s="1" t="s">
        <v>12</v>
      </c>
      <c r="B6" s="1" t="s">
        <v>13</v>
      </c>
      <c r="C6" s="2" t="s">
        <v>14</v>
      </c>
      <c r="D6" s="34" t="s">
        <v>15</v>
      </c>
      <c r="E6" s="3">
        <v>730</v>
      </c>
      <c r="F6" s="4">
        <v>5815</v>
      </c>
      <c r="G6" s="3">
        <v>507</v>
      </c>
      <c r="H6" s="5" t="s">
        <v>16</v>
      </c>
      <c r="I6" s="6">
        <v>1.9E-2</v>
      </c>
    </row>
    <row r="7" spans="1:9" ht="21.9" customHeight="1" x14ac:dyDescent="0.25">
      <c r="A7" s="1" t="s">
        <v>17</v>
      </c>
      <c r="B7" s="1" t="s">
        <v>18</v>
      </c>
      <c r="C7" s="2" t="s">
        <v>19</v>
      </c>
      <c r="D7" s="33" t="s">
        <v>11</v>
      </c>
      <c r="E7" s="3">
        <v>855</v>
      </c>
      <c r="F7" s="4">
        <v>6257</v>
      </c>
      <c r="G7" s="3">
        <v>297</v>
      </c>
      <c r="H7" s="5" t="s">
        <v>20</v>
      </c>
      <c r="I7" s="6">
        <v>5.0000000000000001E-3</v>
      </c>
    </row>
    <row r="8" spans="1:9" ht="23.1" customHeight="1" x14ac:dyDescent="0.25">
      <c r="A8" s="1" t="s">
        <v>17</v>
      </c>
      <c r="B8" s="1" t="s">
        <v>19</v>
      </c>
      <c r="C8" s="2" t="s">
        <v>21</v>
      </c>
      <c r="D8" s="33" t="s">
        <v>11</v>
      </c>
      <c r="E8" s="3">
        <v>855</v>
      </c>
      <c r="F8" s="4">
        <v>6777</v>
      </c>
      <c r="G8" s="3">
        <v>359</v>
      </c>
      <c r="H8" s="5" t="s">
        <v>4</v>
      </c>
      <c r="I8" s="6">
        <v>5.0000000000000001E-3</v>
      </c>
    </row>
    <row r="9" spans="1:9" ht="21.9" customHeight="1" x14ac:dyDescent="0.25">
      <c r="A9" s="1" t="s">
        <v>22</v>
      </c>
      <c r="B9" s="1" t="s">
        <v>23</v>
      </c>
      <c r="C9" s="2" t="s">
        <v>24</v>
      </c>
      <c r="D9" s="33" t="s">
        <v>3</v>
      </c>
      <c r="E9" s="3">
        <v>890</v>
      </c>
      <c r="F9" s="4">
        <v>3016</v>
      </c>
      <c r="G9" s="3">
        <v>131</v>
      </c>
      <c r="H9" s="5" t="s">
        <v>4</v>
      </c>
      <c r="I9" s="6">
        <v>1.6E-2</v>
      </c>
    </row>
    <row r="10" spans="1:9" ht="23.1" customHeight="1" x14ac:dyDescent="0.25">
      <c r="A10" s="1" t="s">
        <v>22</v>
      </c>
      <c r="B10" s="1" t="s">
        <v>24</v>
      </c>
      <c r="C10" s="2" t="s">
        <v>25</v>
      </c>
      <c r="D10" s="33" t="s">
        <v>3</v>
      </c>
      <c r="E10" s="3">
        <v>890</v>
      </c>
      <c r="F10" s="4">
        <v>3692</v>
      </c>
      <c r="G10" s="3">
        <v>156</v>
      </c>
      <c r="H10" s="5" t="s">
        <v>4</v>
      </c>
      <c r="I10" s="6">
        <v>1.2999999999999999E-2</v>
      </c>
    </row>
    <row r="11" spans="1:9" ht="21.9" customHeight="1" x14ac:dyDescent="0.25">
      <c r="A11" s="1" t="s">
        <v>26</v>
      </c>
      <c r="B11" s="1" t="s">
        <v>25</v>
      </c>
      <c r="C11" s="2" t="s">
        <v>1</v>
      </c>
      <c r="D11" s="33" t="s">
        <v>3</v>
      </c>
      <c r="E11" s="3">
        <v>890</v>
      </c>
      <c r="F11" s="4">
        <v>2525</v>
      </c>
      <c r="G11" s="3">
        <v>127</v>
      </c>
      <c r="H11" s="5" t="s">
        <v>4</v>
      </c>
      <c r="I11" s="6">
        <v>5.0000000000000001E-3</v>
      </c>
    </row>
    <row r="12" spans="1:9" ht="23.1" customHeight="1" x14ac:dyDescent="0.25">
      <c r="A12" s="1" t="s">
        <v>27</v>
      </c>
      <c r="B12" s="1" t="s">
        <v>28</v>
      </c>
      <c r="C12" s="2" t="s">
        <v>29</v>
      </c>
      <c r="D12" s="33" t="s">
        <v>3</v>
      </c>
      <c r="E12" s="3">
        <v>1165</v>
      </c>
      <c r="F12" s="4">
        <v>14459</v>
      </c>
      <c r="G12" s="3">
        <v>878</v>
      </c>
      <c r="H12" s="5" t="s">
        <v>4</v>
      </c>
      <c r="I12" s="6">
        <v>1.0999999999999999E-2</v>
      </c>
    </row>
    <row r="13" spans="1:9" ht="21.9" customHeight="1" x14ac:dyDescent="0.25">
      <c r="A13" s="1" t="s">
        <v>27</v>
      </c>
      <c r="B13" s="1" t="s">
        <v>29</v>
      </c>
      <c r="C13" s="2" t="s">
        <v>1</v>
      </c>
      <c r="D13" s="33" t="s">
        <v>3</v>
      </c>
      <c r="E13" s="3">
        <v>1165</v>
      </c>
      <c r="F13" s="4">
        <v>16452</v>
      </c>
      <c r="G13" s="3">
        <v>779</v>
      </c>
      <c r="H13" s="5" t="s">
        <v>4</v>
      </c>
      <c r="I13" s="6">
        <v>1.6E-2</v>
      </c>
    </row>
    <row r="14" spans="1:9" ht="23.1" customHeight="1" x14ac:dyDescent="0.25">
      <c r="A14" s="1" t="s">
        <v>27</v>
      </c>
      <c r="B14" s="1" t="s">
        <v>1</v>
      </c>
      <c r="C14" s="2" t="s">
        <v>30</v>
      </c>
      <c r="D14" s="34" t="s">
        <v>31</v>
      </c>
      <c r="E14" s="3">
        <v>870</v>
      </c>
      <c r="F14" s="4">
        <v>13949</v>
      </c>
      <c r="G14" s="3">
        <v>495</v>
      </c>
      <c r="H14" s="5" t="s">
        <v>20</v>
      </c>
      <c r="I14" s="6">
        <v>1.4999999999999999E-2</v>
      </c>
    </row>
    <row r="15" spans="1:9" ht="21.9" customHeight="1" x14ac:dyDescent="0.25">
      <c r="A15" s="1" t="s">
        <v>27</v>
      </c>
      <c r="B15" s="1" t="s">
        <v>30</v>
      </c>
      <c r="C15" s="2" t="s">
        <v>32</v>
      </c>
      <c r="D15" s="33" t="s">
        <v>3</v>
      </c>
      <c r="E15" s="3">
        <v>890</v>
      </c>
      <c r="F15" s="4">
        <v>5247</v>
      </c>
      <c r="G15" s="3">
        <v>312</v>
      </c>
      <c r="H15" s="5" t="s">
        <v>20</v>
      </c>
      <c r="I15" s="6">
        <v>5.0000000000000001E-3</v>
      </c>
    </row>
    <row r="16" spans="1:9" ht="21.9" customHeight="1" x14ac:dyDescent="0.25">
      <c r="A16" s="1" t="s">
        <v>33</v>
      </c>
      <c r="B16" s="1" t="s">
        <v>34</v>
      </c>
      <c r="C16" s="2" t="s">
        <v>7</v>
      </c>
      <c r="D16" s="34" t="s">
        <v>15</v>
      </c>
      <c r="E16" s="3">
        <v>730</v>
      </c>
      <c r="F16" s="4">
        <v>2436</v>
      </c>
      <c r="G16" s="3">
        <v>117</v>
      </c>
      <c r="H16" s="5" t="s">
        <v>35</v>
      </c>
      <c r="I16" s="6">
        <v>6.5000000000000002E-2</v>
      </c>
    </row>
    <row r="17" spans="1:9" ht="23.1" customHeight="1" x14ac:dyDescent="0.25">
      <c r="A17" s="1" t="s">
        <v>33</v>
      </c>
      <c r="B17" s="1" t="s">
        <v>7</v>
      </c>
      <c r="C17" s="2" t="s">
        <v>36</v>
      </c>
      <c r="D17" s="34" t="s">
        <v>15</v>
      </c>
      <c r="E17" s="3">
        <v>730</v>
      </c>
      <c r="F17" s="4">
        <v>2174</v>
      </c>
      <c r="G17" s="3">
        <v>126</v>
      </c>
      <c r="H17" s="5" t="s">
        <v>35</v>
      </c>
      <c r="I17" s="6">
        <v>0.05</v>
      </c>
    </row>
    <row r="18" spans="1:9" ht="21.9" customHeight="1" x14ac:dyDescent="0.25">
      <c r="A18" s="1" t="s">
        <v>37</v>
      </c>
      <c r="B18" s="1" t="s">
        <v>23</v>
      </c>
      <c r="C18" s="2" t="s">
        <v>38</v>
      </c>
      <c r="D18" s="33" t="s">
        <v>3</v>
      </c>
      <c r="E18" s="3">
        <v>890</v>
      </c>
      <c r="F18" s="4">
        <v>1669</v>
      </c>
      <c r="G18" s="3">
        <v>86</v>
      </c>
      <c r="H18" s="5" t="s">
        <v>4</v>
      </c>
      <c r="I18" s="6">
        <v>5.0000000000000001E-3</v>
      </c>
    </row>
    <row r="19" spans="1:9" ht="23.1" customHeight="1" x14ac:dyDescent="0.25">
      <c r="A19" s="1" t="s">
        <v>39</v>
      </c>
      <c r="B19" s="1" t="s">
        <v>40</v>
      </c>
      <c r="C19" s="2" t="s">
        <v>41</v>
      </c>
      <c r="D19" s="33" t="s">
        <v>3</v>
      </c>
      <c r="E19" s="3">
        <v>890</v>
      </c>
      <c r="F19" s="4">
        <v>5353</v>
      </c>
      <c r="G19" s="3">
        <v>231</v>
      </c>
      <c r="H19" s="5" t="s">
        <v>20</v>
      </c>
      <c r="I19" s="6">
        <v>5.0000000000000001E-3</v>
      </c>
    </row>
    <row r="20" spans="1:9" ht="21.9" customHeight="1" x14ac:dyDescent="0.25">
      <c r="A20" s="1" t="s">
        <v>41</v>
      </c>
      <c r="B20" s="1" t="s">
        <v>39</v>
      </c>
      <c r="C20" s="2" t="s">
        <v>42</v>
      </c>
      <c r="D20" s="33" t="s">
        <v>3</v>
      </c>
      <c r="E20" s="3">
        <v>890</v>
      </c>
      <c r="F20" s="4">
        <v>11042</v>
      </c>
      <c r="G20" s="3">
        <v>674</v>
      </c>
      <c r="H20" s="5" t="s">
        <v>4</v>
      </c>
      <c r="I20" s="6">
        <v>1.2E-2</v>
      </c>
    </row>
    <row r="21" spans="1:9" ht="23.1" customHeight="1" x14ac:dyDescent="0.25">
      <c r="A21" s="1" t="s">
        <v>41</v>
      </c>
      <c r="B21" s="1" t="s">
        <v>43</v>
      </c>
      <c r="C21" s="2" t="s">
        <v>44</v>
      </c>
      <c r="D21" s="34" t="s">
        <v>31</v>
      </c>
      <c r="E21" s="3">
        <v>695</v>
      </c>
      <c r="F21" s="4">
        <v>5911</v>
      </c>
      <c r="G21" s="3">
        <v>317</v>
      </c>
      <c r="H21" s="5" t="s">
        <v>20</v>
      </c>
      <c r="I21" s="6">
        <v>5.0000000000000001E-3</v>
      </c>
    </row>
    <row r="22" spans="1:9" ht="21.9" customHeight="1" x14ac:dyDescent="0.25">
      <c r="A22" s="1" t="s">
        <v>41</v>
      </c>
      <c r="B22" s="1" t="s">
        <v>44</v>
      </c>
      <c r="C22" s="2" t="s">
        <v>45</v>
      </c>
      <c r="D22" s="33" t="s">
        <v>3</v>
      </c>
      <c r="E22" s="3">
        <v>890</v>
      </c>
      <c r="F22" s="4">
        <v>8265</v>
      </c>
      <c r="G22" s="3">
        <v>555</v>
      </c>
      <c r="H22" s="5" t="s">
        <v>4</v>
      </c>
      <c r="I22" s="6">
        <v>5.7000000000000002E-2</v>
      </c>
    </row>
    <row r="23" spans="1:9" ht="22.5" customHeight="1" x14ac:dyDescent="0.25">
      <c r="A23" s="1" t="s">
        <v>46</v>
      </c>
      <c r="B23" s="1" t="s">
        <v>47</v>
      </c>
      <c r="C23" s="2" t="s">
        <v>48</v>
      </c>
      <c r="D23" s="34" t="s">
        <v>31</v>
      </c>
      <c r="E23" s="3">
        <v>1790</v>
      </c>
      <c r="F23" s="4">
        <v>21241</v>
      </c>
      <c r="G23" s="3">
        <v>994</v>
      </c>
      <c r="H23" s="5" t="s">
        <v>4</v>
      </c>
      <c r="I23" s="6">
        <v>5.0000000000000001E-3</v>
      </c>
    </row>
    <row r="24" spans="1:9" ht="21.9" customHeight="1" x14ac:dyDescent="0.25">
      <c r="A24" s="1" t="s">
        <v>46</v>
      </c>
      <c r="B24" s="1" t="s">
        <v>48</v>
      </c>
      <c r="C24" s="2" t="s">
        <v>49</v>
      </c>
      <c r="D24" s="34" t="s">
        <v>31</v>
      </c>
      <c r="E24" s="3">
        <v>1790</v>
      </c>
      <c r="F24" s="4">
        <v>19136</v>
      </c>
      <c r="G24" s="3">
        <v>869</v>
      </c>
      <c r="H24" s="5" t="s">
        <v>4</v>
      </c>
      <c r="I24" s="6">
        <v>5.0000000000000001E-3</v>
      </c>
    </row>
    <row r="25" spans="1:9" ht="21.9" customHeight="1" x14ac:dyDescent="0.25">
      <c r="A25" s="1" t="s">
        <v>46</v>
      </c>
      <c r="B25" s="1" t="s">
        <v>50</v>
      </c>
      <c r="C25" s="2" t="s">
        <v>51</v>
      </c>
      <c r="D25" s="34" t="s">
        <v>31</v>
      </c>
      <c r="E25" s="3">
        <v>870</v>
      </c>
      <c r="F25" s="4">
        <v>9681</v>
      </c>
      <c r="G25" s="3">
        <v>395</v>
      </c>
      <c r="H25" s="5" t="s">
        <v>20</v>
      </c>
      <c r="I25" s="6">
        <v>2.1000000000000001E-2</v>
      </c>
    </row>
    <row r="26" spans="1:9" ht="23.1" customHeight="1" x14ac:dyDescent="0.25">
      <c r="A26" s="1" t="s">
        <v>52</v>
      </c>
      <c r="B26" s="1" t="s">
        <v>28</v>
      </c>
      <c r="C26" s="2" t="s">
        <v>53</v>
      </c>
      <c r="D26" s="34" t="s">
        <v>15</v>
      </c>
      <c r="E26" s="3">
        <v>730</v>
      </c>
      <c r="F26" s="4">
        <v>1212</v>
      </c>
      <c r="G26" s="3">
        <v>69</v>
      </c>
      <c r="H26" s="5" t="s">
        <v>35</v>
      </c>
      <c r="I26" s="6">
        <v>6.8000000000000005E-2</v>
      </c>
    </row>
    <row r="27" spans="1:9" ht="21.9" customHeight="1" x14ac:dyDescent="0.25">
      <c r="A27" s="1" t="s">
        <v>52</v>
      </c>
      <c r="B27" s="1" t="s">
        <v>53</v>
      </c>
      <c r="C27" s="2" t="s">
        <v>54</v>
      </c>
      <c r="D27" s="34" t="s">
        <v>15</v>
      </c>
      <c r="E27" s="3">
        <v>730</v>
      </c>
      <c r="F27" s="4">
        <v>4606</v>
      </c>
      <c r="G27" s="3">
        <v>279</v>
      </c>
      <c r="H27" s="5" t="s">
        <v>4</v>
      </c>
      <c r="I27" s="6">
        <v>4.2999999999999997E-2</v>
      </c>
    </row>
    <row r="28" spans="1:9" ht="23.1" customHeight="1" x14ac:dyDescent="0.25">
      <c r="A28" s="1" t="s">
        <v>52</v>
      </c>
      <c r="B28" s="1" t="s">
        <v>54</v>
      </c>
      <c r="C28" s="2" t="s">
        <v>55</v>
      </c>
      <c r="D28" s="34" t="s">
        <v>15</v>
      </c>
      <c r="E28" s="3">
        <v>730</v>
      </c>
      <c r="F28" s="4">
        <v>10060</v>
      </c>
      <c r="G28" s="3">
        <v>657</v>
      </c>
      <c r="H28" s="5" t="s">
        <v>16</v>
      </c>
      <c r="I28" s="6">
        <v>2.3E-2</v>
      </c>
    </row>
    <row r="29" spans="1:9" ht="21.9" customHeight="1" x14ac:dyDescent="0.25">
      <c r="A29" s="1" t="s">
        <v>52</v>
      </c>
      <c r="B29" s="1" t="s">
        <v>55</v>
      </c>
      <c r="C29" s="2" t="s">
        <v>1</v>
      </c>
      <c r="D29" s="33" t="s">
        <v>3</v>
      </c>
      <c r="E29" s="3">
        <v>890</v>
      </c>
      <c r="F29" s="4">
        <v>11249</v>
      </c>
      <c r="G29" s="3">
        <v>624</v>
      </c>
      <c r="H29" s="5" t="s">
        <v>20</v>
      </c>
      <c r="I29" s="6">
        <v>1.6E-2</v>
      </c>
    </row>
    <row r="30" spans="1:9" ht="23.1" customHeight="1" x14ac:dyDescent="0.25">
      <c r="A30" s="1" t="s">
        <v>52</v>
      </c>
      <c r="B30" s="1" t="s">
        <v>1</v>
      </c>
      <c r="C30" s="2" t="s">
        <v>30</v>
      </c>
      <c r="D30" s="34" t="s">
        <v>31</v>
      </c>
      <c r="E30" s="3">
        <v>695</v>
      </c>
      <c r="F30" s="4">
        <v>8379</v>
      </c>
      <c r="G30" s="3">
        <v>484</v>
      </c>
      <c r="H30" s="5" t="s">
        <v>20</v>
      </c>
      <c r="I30" s="6">
        <v>5.0000000000000001E-3</v>
      </c>
    </row>
    <row r="31" spans="1:9" ht="21.9" customHeight="1" x14ac:dyDescent="0.25">
      <c r="A31" s="1" t="s">
        <v>52</v>
      </c>
      <c r="B31" s="1" t="s">
        <v>30</v>
      </c>
      <c r="C31" s="2" t="s">
        <v>56</v>
      </c>
      <c r="D31" s="34" t="s">
        <v>31</v>
      </c>
      <c r="E31" s="3">
        <v>695</v>
      </c>
      <c r="F31" s="4">
        <v>7845</v>
      </c>
      <c r="G31" s="3">
        <v>397</v>
      </c>
      <c r="H31" s="5" t="s">
        <v>20</v>
      </c>
      <c r="I31" s="6">
        <v>5.0000000000000001E-3</v>
      </c>
    </row>
    <row r="32" spans="1:9" ht="23.1" customHeight="1" x14ac:dyDescent="0.25">
      <c r="A32" s="1" t="s">
        <v>52</v>
      </c>
      <c r="B32" s="1" t="s">
        <v>56</v>
      </c>
      <c r="C32" s="2" t="s">
        <v>51</v>
      </c>
      <c r="D32" s="34" t="s">
        <v>31</v>
      </c>
      <c r="E32" s="3">
        <v>695</v>
      </c>
      <c r="F32" s="4">
        <v>4572</v>
      </c>
      <c r="G32" s="3">
        <v>259</v>
      </c>
      <c r="H32" s="5" t="s">
        <v>16</v>
      </c>
      <c r="I32" s="6">
        <v>5.0000000000000001E-3</v>
      </c>
    </row>
    <row r="33" spans="1:9" ht="21.9" customHeight="1" x14ac:dyDescent="0.25">
      <c r="A33" s="1" t="s">
        <v>57</v>
      </c>
      <c r="B33" s="1" t="s">
        <v>23</v>
      </c>
      <c r="C33" s="2" t="s">
        <v>38</v>
      </c>
      <c r="D33" s="34" t="s">
        <v>15</v>
      </c>
      <c r="E33" s="3">
        <v>730</v>
      </c>
      <c r="F33" s="4">
        <v>4557</v>
      </c>
      <c r="G33" s="3">
        <v>466</v>
      </c>
      <c r="H33" s="5" t="s">
        <v>16</v>
      </c>
      <c r="I33" s="6">
        <v>0.08</v>
      </c>
    </row>
    <row r="34" spans="1:9" ht="21.9" customHeight="1" x14ac:dyDescent="0.25">
      <c r="A34" s="1" t="s">
        <v>57</v>
      </c>
      <c r="B34" s="1" t="s">
        <v>38</v>
      </c>
      <c r="C34" s="2" t="s">
        <v>58</v>
      </c>
      <c r="D34" s="34" t="s">
        <v>15</v>
      </c>
      <c r="E34" s="3">
        <v>730</v>
      </c>
      <c r="F34" s="4">
        <v>5438</v>
      </c>
      <c r="G34" s="3">
        <v>302</v>
      </c>
      <c r="H34" s="5" t="s">
        <v>4</v>
      </c>
      <c r="I34" s="6">
        <v>4.3999999999999997E-2</v>
      </c>
    </row>
    <row r="35" spans="1:9" ht="15.6" customHeight="1" x14ac:dyDescent="0.25">
      <c r="A35" s="7" t="s">
        <v>57</v>
      </c>
      <c r="B35" s="7" t="s">
        <v>58</v>
      </c>
      <c r="C35" s="8" t="s">
        <v>28</v>
      </c>
      <c r="D35" s="35" t="s">
        <v>3</v>
      </c>
      <c r="E35" s="9">
        <v>1165</v>
      </c>
      <c r="F35" s="10">
        <v>6311</v>
      </c>
      <c r="G35" s="9">
        <v>301</v>
      </c>
      <c r="H35" s="11" t="s">
        <v>4</v>
      </c>
      <c r="I35" s="12">
        <v>0.01</v>
      </c>
    </row>
    <row r="36" spans="1:9" ht="21.6" customHeight="1" x14ac:dyDescent="0.25">
      <c r="A36" s="1" t="s">
        <v>59</v>
      </c>
      <c r="B36" s="1" t="s">
        <v>54</v>
      </c>
      <c r="C36" s="2" t="s">
        <v>7</v>
      </c>
      <c r="D36" s="33" t="s">
        <v>11</v>
      </c>
      <c r="E36" s="3">
        <v>1125</v>
      </c>
      <c r="F36" s="4">
        <v>14293</v>
      </c>
      <c r="G36" s="4">
        <v>1207</v>
      </c>
      <c r="H36" s="13" t="s">
        <v>60</v>
      </c>
      <c r="I36" s="6">
        <v>2.1000000000000001E-2</v>
      </c>
    </row>
    <row r="37" spans="1:9" ht="15.9" customHeight="1" x14ac:dyDescent="0.25">
      <c r="A37" s="14" t="s">
        <v>59</v>
      </c>
      <c r="B37" s="14" t="s">
        <v>7</v>
      </c>
      <c r="C37" s="15" t="s">
        <v>61</v>
      </c>
      <c r="D37" s="32" t="s">
        <v>3</v>
      </c>
      <c r="E37" s="16">
        <v>1165</v>
      </c>
      <c r="F37" s="17">
        <v>9701</v>
      </c>
      <c r="G37" s="16">
        <v>514</v>
      </c>
      <c r="H37" s="18" t="s">
        <v>4</v>
      </c>
      <c r="I37" s="19">
        <v>5.0000000000000001E-3</v>
      </c>
    </row>
    <row r="38" spans="1:9" ht="21.9" customHeight="1" x14ac:dyDescent="0.25">
      <c r="A38" s="1" t="s">
        <v>59</v>
      </c>
      <c r="B38" s="1" t="s">
        <v>61</v>
      </c>
      <c r="C38" s="2" t="s">
        <v>62</v>
      </c>
      <c r="D38" s="33" t="s">
        <v>3</v>
      </c>
      <c r="E38" s="3">
        <v>1165</v>
      </c>
      <c r="F38" s="4">
        <v>12673</v>
      </c>
      <c r="G38" s="3">
        <v>534</v>
      </c>
      <c r="H38" s="5" t="s">
        <v>4</v>
      </c>
      <c r="I38" s="6">
        <v>5.0000000000000001E-3</v>
      </c>
    </row>
    <row r="39" spans="1:9" ht="23.1" customHeight="1" x14ac:dyDescent="0.25">
      <c r="A39" s="1" t="s">
        <v>63</v>
      </c>
      <c r="B39" s="1" t="s">
        <v>34</v>
      </c>
      <c r="C39" s="2" t="s">
        <v>64</v>
      </c>
      <c r="D39" s="34" t="s">
        <v>15</v>
      </c>
      <c r="E39" s="3">
        <v>730</v>
      </c>
      <c r="F39" s="4">
        <v>4358</v>
      </c>
      <c r="G39" s="3">
        <v>185</v>
      </c>
      <c r="H39" s="5" t="s">
        <v>35</v>
      </c>
      <c r="I39" s="6">
        <v>6.3E-2</v>
      </c>
    </row>
    <row r="40" spans="1:9" ht="21.9" customHeight="1" x14ac:dyDescent="0.25">
      <c r="A40" s="1" t="s">
        <v>63</v>
      </c>
      <c r="B40" s="1" t="s">
        <v>64</v>
      </c>
      <c r="C40" s="2" t="s">
        <v>65</v>
      </c>
      <c r="D40" s="34" t="s">
        <v>15</v>
      </c>
      <c r="E40" s="3">
        <v>730</v>
      </c>
      <c r="F40" s="4">
        <v>4336</v>
      </c>
      <c r="G40" s="3">
        <v>189</v>
      </c>
      <c r="H40" s="5" t="s">
        <v>35</v>
      </c>
      <c r="I40" s="6">
        <v>4.2000000000000003E-2</v>
      </c>
    </row>
    <row r="41" spans="1:9" ht="23.1" customHeight="1" x14ac:dyDescent="0.25">
      <c r="A41" s="1" t="s">
        <v>63</v>
      </c>
      <c r="B41" s="1" t="s">
        <v>65</v>
      </c>
      <c r="C41" s="2" t="s">
        <v>54</v>
      </c>
      <c r="D41" s="34" t="s">
        <v>15</v>
      </c>
      <c r="E41" s="3">
        <v>730</v>
      </c>
      <c r="F41" s="4">
        <v>6885</v>
      </c>
      <c r="G41" s="3">
        <v>333</v>
      </c>
      <c r="H41" s="5" t="s">
        <v>4</v>
      </c>
      <c r="I41" s="6">
        <v>4.5999999999999999E-2</v>
      </c>
    </row>
    <row r="42" spans="1:9" ht="21.9" customHeight="1" x14ac:dyDescent="0.25">
      <c r="A42" s="1" t="s">
        <v>63</v>
      </c>
      <c r="B42" s="1" t="s">
        <v>66</v>
      </c>
      <c r="C42" s="2" t="s">
        <v>67</v>
      </c>
      <c r="D42" s="33" t="s">
        <v>11</v>
      </c>
      <c r="E42" s="3">
        <v>1900</v>
      </c>
      <c r="F42" s="4">
        <v>20434</v>
      </c>
      <c r="G42" s="4">
        <v>1410</v>
      </c>
      <c r="H42" s="5" t="s">
        <v>4</v>
      </c>
      <c r="I42" s="6">
        <v>5.0000000000000001E-3</v>
      </c>
    </row>
    <row r="43" spans="1:9" ht="21.9" customHeight="1" x14ac:dyDescent="0.25">
      <c r="A43" s="1" t="s">
        <v>63</v>
      </c>
      <c r="B43" s="1" t="s">
        <v>67</v>
      </c>
      <c r="C43" s="2" t="s">
        <v>68</v>
      </c>
      <c r="D43" s="33" t="s">
        <v>11</v>
      </c>
      <c r="E43" s="3">
        <v>1900</v>
      </c>
      <c r="F43" s="4">
        <v>22867</v>
      </c>
      <c r="G43" s="4">
        <v>1190</v>
      </c>
      <c r="H43" s="5" t="s">
        <v>4</v>
      </c>
      <c r="I43" s="6">
        <v>5.0000000000000001E-3</v>
      </c>
    </row>
    <row r="44" spans="1:9" ht="23.1" customHeight="1" x14ac:dyDescent="0.25">
      <c r="A44" s="1" t="s">
        <v>69</v>
      </c>
      <c r="B44" s="1" t="s">
        <v>68</v>
      </c>
      <c r="C44" s="2" t="s">
        <v>28</v>
      </c>
      <c r="D44" s="33" t="s">
        <v>11</v>
      </c>
      <c r="E44" s="3">
        <v>1900</v>
      </c>
      <c r="F44" s="4">
        <v>24744</v>
      </c>
      <c r="G44" s="4">
        <v>1443</v>
      </c>
      <c r="H44" s="5" t="s">
        <v>4</v>
      </c>
      <c r="I44" s="6">
        <v>8.0000000000000002E-3</v>
      </c>
    </row>
    <row r="45" spans="1:9" ht="21.9" customHeight="1" x14ac:dyDescent="0.25">
      <c r="A45" s="1" t="s">
        <v>70</v>
      </c>
      <c r="B45" s="1" t="s">
        <v>51</v>
      </c>
      <c r="C45" s="2" t="s">
        <v>71</v>
      </c>
      <c r="D45" s="33" t="s">
        <v>3</v>
      </c>
      <c r="E45" s="3">
        <v>1165</v>
      </c>
      <c r="F45" s="4">
        <v>8521</v>
      </c>
      <c r="G45" s="3">
        <v>391</v>
      </c>
      <c r="H45" s="5" t="s">
        <v>4</v>
      </c>
      <c r="I45" s="6">
        <v>5.0000000000000001E-3</v>
      </c>
    </row>
    <row r="46" spans="1:9" ht="23.1" customHeight="1" x14ac:dyDescent="0.25">
      <c r="A46" s="1" t="s">
        <v>70</v>
      </c>
      <c r="B46" s="1" t="s">
        <v>71</v>
      </c>
      <c r="C46" s="2" t="s">
        <v>42</v>
      </c>
      <c r="D46" s="33" t="s">
        <v>3</v>
      </c>
      <c r="E46" s="3">
        <v>1165</v>
      </c>
      <c r="F46" s="4">
        <v>9649</v>
      </c>
      <c r="G46" s="3">
        <v>437</v>
      </c>
      <c r="H46" s="5" t="s">
        <v>4</v>
      </c>
      <c r="I46" s="6">
        <v>5.0000000000000001E-3</v>
      </c>
    </row>
    <row r="47" spans="1:9" ht="21.9" customHeight="1" x14ac:dyDescent="0.25">
      <c r="A47" s="1" t="s">
        <v>72</v>
      </c>
      <c r="B47" s="1" t="s">
        <v>34</v>
      </c>
      <c r="C47" s="2" t="s">
        <v>73</v>
      </c>
      <c r="D47" s="34" t="s">
        <v>15</v>
      </c>
      <c r="E47" s="3">
        <v>730</v>
      </c>
      <c r="F47" s="4">
        <v>3253</v>
      </c>
      <c r="G47" s="3">
        <v>187</v>
      </c>
      <c r="H47" s="5" t="s">
        <v>35</v>
      </c>
      <c r="I47" s="6">
        <v>0.04</v>
      </c>
    </row>
    <row r="48" spans="1:9" ht="21.9" customHeight="1" x14ac:dyDescent="0.25">
      <c r="A48" s="1" t="s">
        <v>72</v>
      </c>
      <c r="B48" s="1" t="s">
        <v>73</v>
      </c>
      <c r="C48" s="2" t="s">
        <v>74</v>
      </c>
      <c r="D48" s="34" t="s">
        <v>15</v>
      </c>
      <c r="E48" s="3">
        <v>730</v>
      </c>
      <c r="F48" s="4">
        <v>3298</v>
      </c>
      <c r="G48" s="3">
        <v>189</v>
      </c>
      <c r="H48" s="5" t="s">
        <v>35</v>
      </c>
      <c r="I48" s="6">
        <v>7.2999999999999995E-2</v>
      </c>
    </row>
    <row r="49" spans="1:9" ht="21.9" customHeight="1" x14ac:dyDescent="0.25">
      <c r="A49" s="1" t="s">
        <v>75</v>
      </c>
      <c r="B49" s="1" t="s">
        <v>76</v>
      </c>
      <c r="C49" s="2" t="s">
        <v>61</v>
      </c>
      <c r="D49" s="34" t="s">
        <v>15</v>
      </c>
      <c r="E49" s="3">
        <v>730</v>
      </c>
      <c r="F49" s="4">
        <v>4663</v>
      </c>
      <c r="G49" s="3">
        <v>221</v>
      </c>
      <c r="H49" s="5" t="s">
        <v>35</v>
      </c>
      <c r="I49" s="6">
        <v>2.1999999999999999E-2</v>
      </c>
    </row>
    <row r="50" spans="1:9" ht="23.1" customHeight="1" x14ac:dyDescent="0.25">
      <c r="A50" s="1" t="s">
        <v>77</v>
      </c>
      <c r="B50" s="1" t="s">
        <v>76</v>
      </c>
      <c r="C50" s="2" t="s">
        <v>78</v>
      </c>
      <c r="D50" s="34" t="s">
        <v>15</v>
      </c>
      <c r="E50" s="3">
        <v>730</v>
      </c>
      <c r="F50" s="4">
        <v>4677</v>
      </c>
      <c r="G50" s="3">
        <v>275</v>
      </c>
      <c r="H50" s="5" t="s">
        <v>4</v>
      </c>
      <c r="I50" s="6">
        <v>0.05</v>
      </c>
    </row>
    <row r="51" spans="1:9" ht="21.9" customHeight="1" x14ac:dyDescent="0.25">
      <c r="A51" s="1" t="s">
        <v>77</v>
      </c>
      <c r="B51" s="1" t="s">
        <v>78</v>
      </c>
      <c r="C51" s="2" t="s">
        <v>28</v>
      </c>
      <c r="D51" s="33" t="s">
        <v>3</v>
      </c>
      <c r="E51" s="3">
        <v>1165</v>
      </c>
      <c r="F51" s="4">
        <v>8959</v>
      </c>
      <c r="G51" s="3">
        <v>431</v>
      </c>
      <c r="H51" s="5" t="s">
        <v>4</v>
      </c>
      <c r="I51" s="6">
        <v>2.5999999999999999E-2</v>
      </c>
    </row>
    <row r="52" spans="1:9" ht="23.1" customHeight="1" x14ac:dyDescent="0.25">
      <c r="A52" s="1" t="s">
        <v>79</v>
      </c>
      <c r="B52" s="1" t="s">
        <v>1</v>
      </c>
      <c r="C52" s="2" t="s">
        <v>38</v>
      </c>
      <c r="D52" s="34" t="s">
        <v>15</v>
      </c>
      <c r="E52" s="3">
        <v>730</v>
      </c>
      <c r="F52" s="4">
        <v>4301</v>
      </c>
      <c r="G52" s="3">
        <v>240</v>
      </c>
      <c r="H52" s="5" t="s">
        <v>20</v>
      </c>
      <c r="I52" s="6">
        <v>5.8999999999999997E-2</v>
      </c>
    </row>
    <row r="53" spans="1:9" ht="21.9" customHeight="1" x14ac:dyDescent="0.25">
      <c r="A53" s="1" t="s">
        <v>79</v>
      </c>
      <c r="B53" s="1" t="s">
        <v>38</v>
      </c>
      <c r="C53" s="2" t="s">
        <v>80</v>
      </c>
      <c r="D53" s="33" t="s">
        <v>3</v>
      </c>
      <c r="E53" s="3">
        <v>890</v>
      </c>
      <c r="F53" s="4">
        <v>7574</v>
      </c>
      <c r="G53" s="3">
        <v>505</v>
      </c>
      <c r="H53" s="5" t="s">
        <v>20</v>
      </c>
      <c r="I53" s="6">
        <v>5.0000000000000001E-3</v>
      </c>
    </row>
    <row r="54" spans="1:9" ht="23.1" customHeight="1" x14ac:dyDescent="0.25">
      <c r="A54" s="1" t="s">
        <v>79</v>
      </c>
      <c r="B54" s="1" t="s">
        <v>80</v>
      </c>
      <c r="C54" s="2" t="s">
        <v>81</v>
      </c>
      <c r="D54" s="33" t="s">
        <v>3</v>
      </c>
      <c r="E54" s="3">
        <v>1110</v>
      </c>
      <c r="F54" s="4">
        <v>7070</v>
      </c>
      <c r="G54" s="3">
        <v>386</v>
      </c>
      <c r="H54" s="5" t="s">
        <v>4</v>
      </c>
      <c r="I54" s="6">
        <v>1.7999999999999999E-2</v>
      </c>
    </row>
    <row r="55" spans="1:9" ht="21.9" customHeight="1" x14ac:dyDescent="0.25">
      <c r="A55" s="1" t="s">
        <v>79</v>
      </c>
      <c r="B55" s="1" t="s">
        <v>81</v>
      </c>
      <c r="C55" s="2" t="s">
        <v>27</v>
      </c>
      <c r="D55" s="34" t="s">
        <v>15</v>
      </c>
      <c r="E55" s="3">
        <v>730</v>
      </c>
      <c r="F55" s="4">
        <v>7701</v>
      </c>
      <c r="G55" s="3">
        <v>344</v>
      </c>
      <c r="H55" s="5" t="s">
        <v>4</v>
      </c>
      <c r="I55" s="6">
        <v>1.9E-2</v>
      </c>
    </row>
    <row r="56" spans="1:9" ht="23.1" customHeight="1" x14ac:dyDescent="0.25">
      <c r="A56" s="1" t="s">
        <v>79</v>
      </c>
      <c r="B56" s="1" t="s">
        <v>27</v>
      </c>
      <c r="C56" s="2" t="s">
        <v>18</v>
      </c>
      <c r="D56" s="34" t="s">
        <v>31</v>
      </c>
      <c r="E56" s="3">
        <v>870</v>
      </c>
      <c r="F56" s="4">
        <v>12000</v>
      </c>
      <c r="G56" s="3">
        <v>498</v>
      </c>
      <c r="H56" s="5" t="s">
        <v>20</v>
      </c>
      <c r="I56" s="6">
        <v>5.0000000000000001E-3</v>
      </c>
    </row>
    <row r="57" spans="1:9" ht="21.9" customHeight="1" x14ac:dyDescent="0.25">
      <c r="A57" s="1" t="s">
        <v>79</v>
      </c>
      <c r="B57" s="1" t="s">
        <v>18</v>
      </c>
      <c r="C57" s="2" t="s">
        <v>82</v>
      </c>
      <c r="D57" s="34" t="s">
        <v>31</v>
      </c>
      <c r="E57" s="3">
        <v>870</v>
      </c>
      <c r="F57" s="4">
        <v>16817</v>
      </c>
      <c r="G57" s="3">
        <v>703</v>
      </c>
      <c r="H57" s="5" t="s">
        <v>20</v>
      </c>
      <c r="I57" s="6">
        <v>5.0000000000000001E-3</v>
      </c>
    </row>
    <row r="58" spans="1:9" ht="21.9" customHeight="1" x14ac:dyDescent="0.25">
      <c r="A58" s="1" t="s">
        <v>79</v>
      </c>
      <c r="B58" s="1" t="s">
        <v>83</v>
      </c>
      <c r="C58" s="2" t="s">
        <v>84</v>
      </c>
      <c r="D58" s="33" t="s">
        <v>3</v>
      </c>
      <c r="E58" s="3">
        <v>890</v>
      </c>
      <c r="F58" s="4">
        <v>13746</v>
      </c>
      <c r="G58" s="3">
        <v>727</v>
      </c>
      <c r="H58" s="5" t="s">
        <v>4</v>
      </c>
      <c r="I58" s="6">
        <v>5.0000000000000001E-3</v>
      </c>
    </row>
    <row r="59" spans="1:9" ht="23.1" customHeight="1" x14ac:dyDescent="0.25">
      <c r="A59" s="1" t="s">
        <v>79</v>
      </c>
      <c r="B59" s="1" t="s">
        <v>84</v>
      </c>
      <c r="C59" s="2" t="s">
        <v>21</v>
      </c>
      <c r="D59" s="34" t="s">
        <v>31</v>
      </c>
      <c r="E59" s="3">
        <v>1790</v>
      </c>
      <c r="F59" s="4">
        <v>17816</v>
      </c>
      <c r="G59" s="3">
        <v>781</v>
      </c>
      <c r="H59" s="5" t="s">
        <v>20</v>
      </c>
      <c r="I59" s="6">
        <v>5.0000000000000001E-3</v>
      </c>
    </row>
    <row r="60" spans="1:9" ht="21.9" customHeight="1" x14ac:dyDescent="0.25">
      <c r="A60" s="1" t="s">
        <v>79</v>
      </c>
      <c r="B60" s="1" t="s">
        <v>21</v>
      </c>
      <c r="C60" s="2" t="s">
        <v>61</v>
      </c>
      <c r="D60" s="33" t="s">
        <v>11</v>
      </c>
      <c r="E60" s="3">
        <v>1810</v>
      </c>
      <c r="F60" s="4">
        <v>16596</v>
      </c>
      <c r="G60" s="3">
        <v>858</v>
      </c>
      <c r="H60" s="5" t="s">
        <v>85</v>
      </c>
      <c r="I60" s="6">
        <v>5.0000000000000001E-3</v>
      </c>
    </row>
    <row r="61" spans="1:9" ht="23.1" customHeight="1" x14ac:dyDescent="0.25">
      <c r="A61" s="1" t="s">
        <v>79</v>
      </c>
      <c r="B61" s="1" t="s">
        <v>61</v>
      </c>
      <c r="C61" s="2" t="s">
        <v>86</v>
      </c>
      <c r="D61" s="34" t="s">
        <v>31</v>
      </c>
      <c r="E61" s="3">
        <v>870</v>
      </c>
      <c r="F61" s="4">
        <v>6220</v>
      </c>
      <c r="G61" s="3">
        <v>346</v>
      </c>
      <c r="H61" s="5" t="s">
        <v>16</v>
      </c>
      <c r="I61" s="6">
        <v>5.0000000000000001E-3</v>
      </c>
    </row>
    <row r="62" spans="1:9" ht="21.9" customHeight="1" x14ac:dyDescent="0.25">
      <c r="A62" s="1" t="s">
        <v>87</v>
      </c>
      <c r="B62" s="1" t="s">
        <v>88</v>
      </c>
      <c r="C62" s="2" t="s">
        <v>89</v>
      </c>
      <c r="D62" s="33" t="s">
        <v>11</v>
      </c>
      <c r="E62" s="3">
        <v>855</v>
      </c>
      <c r="F62" s="4">
        <v>3396</v>
      </c>
      <c r="G62" s="3">
        <v>141</v>
      </c>
      <c r="H62" s="5" t="s">
        <v>4</v>
      </c>
      <c r="I62" s="6">
        <v>4.8000000000000001E-2</v>
      </c>
    </row>
    <row r="63" spans="1:9" ht="23.1" customHeight="1" x14ac:dyDescent="0.25">
      <c r="A63" s="1" t="s">
        <v>64</v>
      </c>
      <c r="B63" s="1" t="s">
        <v>34</v>
      </c>
      <c r="C63" s="2" t="s">
        <v>7</v>
      </c>
      <c r="D63" s="34" t="s">
        <v>15</v>
      </c>
      <c r="E63" s="3">
        <v>730</v>
      </c>
      <c r="F63" s="3">
        <v>425</v>
      </c>
      <c r="G63" s="3">
        <v>26</v>
      </c>
      <c r="H63" s="5" t="s">
        <v>35</v>
      </c>
      <c r="I63" s="6">
        <v>5.1999999999999998E-2</v>
      </c>
    </row>
    <row r="64" spans="1:9" ht="21.9" customHeight="1" x14ac:dyDescent="0.25">
      <c r="A64" s="1" t="s">
        <v>90</v>
      </c>
      <c r="B64" s="1" t="s">
        <v>9</v>
      </c>
      <c r="C64" s="2" t="s">
        <v>44</v>
      </c>
      <c r="D64" s="33" t="s">
        <v>11</v>
      </c>
      <c r="E64" s="3">
        <v>1810</v>
      </c>
      <c r="F64" s="4">
        <v>4960</v>
      </c>
      <c r="G64" s="3">
        <v>281</v>
      </c>
      <c r="H64" s="5" t="s">
        <v>4</v>
      </c>
      <c r="I64" s="6">
        <v>8.0000000000000002E-3</v>
      </c>
    </row>
    <row r="65" spans="1:9" ht="23.1" customHeight="1" x14ac:dyDescent="0.25">
      <c r="A65" s="1" t="s">
        <v>90</v>
      </c>
      <c r="B65" s="1" t="s">
        <v>44</v>
      </c>
      <c r="C65" s="2" t="s">
        <v>1</v>
      </c>
      <c r="D65" s="33" t="s">
        <v>11</v>
      </c>
      <c r="E65" s="3">
        <v>1125</v>
      </c>
      <c r="F65" s="4">
        <v>6621</v>
      </c>
      <c r="G65" s="3">
        <v>342</v>
      </c>
      <c r="H65" s="5" t="s">
        <v>4</v>
      </c>
      <c r="I65" s="6">
        <v>5.0000000000000001E-3</v>
      </c>
    </row>
    <row r="66" spans="1:9" ht="21.9" customHeight="1" x14ac:dyDescent="0.25">
      <c r="A66" s="1" t="s">
        <v>90</v>
      </c>
      <c r="B66" s="1" t="s">
        <v>1</v>
      </c>
      <c r="C66" s="2" t="s">
        <v>91</v>
      </c>
      <c r="D66" s="33" t="s">
        <v>11</v>
      </c>
      <c r="E66" s="3">
        <v>1070</v>
      </c>
      <c r="F66" s="4">
        <v>4795</v>
      </c>
      <c r="G66" s="3">
        <v>245</v>
      </c>
      <c r="H66" s="5" t="s">
        <v>4</v>
      </c>
      <c r="I66" s="6">
        <v>8.9999999999999993E-3</v>
      </c>
    </row>
    <row r="67" spans="1:9" ht="21.9" customHeight="1" x14ac:dyDescent="0.25">
      <c r="A67" s="1" t="s">
        <v>56</v>
      </c>
      <c r="B67" s="1" t="s">
        <v>38</v>
      </c>
      <c r="C67" s="2" t="s">
        <v>92</v>
      </c>
      <c r="D67" s="33" t="s">
        <v>3</v>
      </c>
      <c r="E67" s="3">
        <v>1110</v>
      </c>
      <c r="F67" s="4">
        <v>3565</v>
      </c>
      <c r="G67" s="3">
        <v>156</v>
      </c>
      <c r="H67" s="5" t="s">
        <v>4</v>
      </c>
      <c r="I67" s="6">
        <v>5.0000000000000001E-3</v>
      </c>
    </row>
    <row r="68" spans="1:9" ht="23.1" customHeight="1" x14ac:dyDescent="0.25">
      <c r="A68" s="1" t="s">
        <v>56</v>
      </c>
      <c r="B68" s="1" t="s">
        <v>92</v>
      </c>
      <c r="C68" s="2" t="s">
        <v>80</v>
      </c>
      <c r="D68" s="33" t="s">
        <v>3</v>
      </c>
      <c r="E68" s="3">
        <v>1110</v>
      </c>
      <c r="F68" s="4">
        <v>1211</v>
      </c>
      <c r="G68" s="3">
        <v>58</v>
      </c>
      <c r="H68" s="5" t="s">
        <v>4</v>
      </c>
      <c r="I68" s="6">
        <v>3.3000000000000002E-2</v>
      </c>
    </row>
    <row r="69" spans="1:9" ht="21.9" customHeight="1" x14ac:dyDescent="0.25">
      <c r="A69" s="1" t="s">
        <v>93</v>
      </c>
      <c r="B69" s="1" t="s">
        <v>94</v>
      </c>
      <c r="C69" s="2" t="s">
        <v>0</v>
      </c>
      <c r="D69" s="33" t="s">
        <v>3</v>
      </c>
      <c r="E69" s="3">
        <v>890</v>
      </c>
      <c r="F69" s="4">
        <v>8789</v>
      </c>
      <c r="G69" s="3">
        <v>479</v>
      </c>
      <c r="H69" s="5" t="s">
        <v>4</v>
      </c>
      <c r="I69" s="6">
        <v>6.5000000000000002E-2</v>
      </c>
    </row>
    <row r="70" spans="1:9" ht="23.1" customHeight="1" x14ac:dyDescent="0.25">
      <c r="A70" s="1" t="s">
        <v>93</v>
      </c>
      <c r="B70" s="1" t="s">
        <v>0</v>
      </c>
      <c r="C70" s="2" t="s">
        <v>44</v>
      </c>
      <c r="D70" s="33" t="s">
        <v>3</v>
      </c>
      <c r="E70" s="3">
        <v>1110</v>
      </c>
      <c r="F70" s="4">
        <v>9706</v>
      </c>
      <c r="G70" s="3">
        <v>671</v>
      </c>
      <c r="H70" s="5" t="s">
        <v>4</v>
      </c>
      <c r="I70" s="6">
        <v>3.9E-2</v>
      </c>
    </row>
    <row r="71" spans="1:9" ht="21.9" customHeight="1" x14ac:dyDescent="0.25">
      <c r="A71" s="1" t="s">
        <v>93</v>
      </c>
      <c r="B71" s="1" t="s">
        <v>44</v>
      </c>
      <c r="C71" s="2" t="s">
        <v>45</v>
      </c>
      <c r="D71" s="34" t="s">
        <v>15</v>
      </c>
      <c r="E71" s="3">
        <v>730</v>
      </c>
      <c r="F71" s="4">
        <v>10443</v>
      </c>
      <c r="G71" s="3">
        <v>572</v>
      </c>
      <c r="H71" s="5" t="s">
        <v>16</v>
      </c>
      <c r="I71" s="6">
        <v>4.8000000000000001E-2</v>
      </c>
    </row>
    <row r="72" spans="1:9" ht="21.9" customHeight="1" x14ac:dyDescent="0.25">
      <c r="A72" s="1" t="s">
        <v>95</v>
      </c>
      <c r="B72" s="1" t="s">
        <v>30</v>
      </c>
      <c r="C72" s="2" t="s">
        <v>96</v>
      </c>
      <c r="D72" s="34" t="s">
        <v>31</v>
      </c>
      <c r="E72" s="3">
        <v>695</v>
      </c>
      <c r="F72" s="4">
        <v>5457</v>
      </c>
      <c r="G72" s="3">
        <v>228</v>
      </c>
      <c r="H72" s="5" t="s">
        <v>16</v>
      </c>
      <c r="I72" s="6">
        <v>5.0000000000000001E-3</v>
      </c>
    </row>
    <row r="73" spans="1:9" ht="21.9" customHeight="1" x14ac:dyDescent="0.25">
      <c r="A73" s="1" t="s">
        <v>21</v>
      </c>
      <c r="B73" s="1" t="s">
        <v>28</v>
      </c>
      <c r="C73" s="2" t="s">
        <v>29</v>
      </c>
      <c r="D73" s="33" t="s">
        <v>11</v>
      </c>
      <c r="E73" s="3">
        <v>1900</v>
      </c>
      <c r="F73" s="4">
        <v>31136</v>
      </c>
      <c r="G73" s="4">
        <v>1788</v>
      </c>
      <c r="H73" s="5" t="s">
        <v>16</v>
      </c>
      <c r="I73" s="6">
        <v>1.4999999999999999E-2</v>
      </c>
    </row>
    <row r="74" spans="1:9" ht="23.1" customHeight="1" x14ac:dyDescent="0.25">
      <c r="A74" s="1" t="s">
        <v>21</v>
      </c>
      <c r="B74" s="1" t="s">
        <v>29</v>
      </c>
      <c r="C74" s="2" t="s">
        <v>1</v>
      </c>
      <c r="D74" s="33" t="s">
        <v>11</v>
      </c>
      <c r="E74" s="3">
        <v>1900</v>
      </c>
      <c r="F74" s="4">
        <v>30177</v>
      </c>
      <c r="G74" s="4">
        <v>1295</v>
      </c>
      <c r="H74" s="5" t="s">
        <v>4</v>
      </c>
      <c r="I74" s="6">
        <v>0.02</v>
      </c>
    </row>
    <row r="75" spans="1:9" ht="21.9" customHeight="1" x14ac:dyDescent="0.25">
      <c r="A75" s="1" t="s">
        <v>21</v>
      </c>
      <c r="B75" s="1" t="s">
        <v>1</v>
      </c>
      <c r="C75" s="2" t="s">
        <v>17</v>
      </c>
      <c r="D75" s="34" t="s">
        <v>31</v>
      </c>
      <c r="E75" s="3">
        <v>1790</v>
      </c>
      <c r="F75" s="4">
        <v>24486</v>
      </c>
      <c r="G75" s="4">
        <v>1071</v>
      </c>
      <c r="H75" s="5" t="s">
        <v>4</v>
      </c>
      <c r="I75" s="6">
        <v>2.3E-2</v>
      </c>
    </row>
    <row r="76" spans="1:9" ht="23.1" customHeight="1" x14ac:dyDescent="0.25">
      <c r="A76" s="1" t="s">
        <v>21</v>
      </c>
      <c r="B76" s="1" t="s">
        <v>17</v>
      </c>
      <c r="C76" s="2" t="s">
        <v>30</v>
      </c>
      <c r="D76" s="34" t="s">
        <v>31</v>
      </c>
      <c r="E76" s="3">
        <v>1790</v>
      </c>
      <c r="F76" s="4">
        <v>25398</v>
      </c>
      <c r="G76" s="4">
        <v>1123</v>
      </c>
      <c r="H76" s="5" t="s">
        <v>4</v>
      </c>
      <c r="I76" s="6">
        <v>5.0000000000000001E-3</v>
      </c>
    </row>
    <row r="77" spans="1:9" ht="21.9" customHeight="1" x14ac:dyDescent="0.25">
      <c r="A77" s="1" t="s">
        <v>21</v>
      </c>
      <c r="B77" s="1" t="s">
        <v>30</v>
      </c>
      <c r="C77" s="2" t="s">
        <v>83</v>
      </c>
      <c r="D77" s="34" t="s">
        <v>31</v>
      </c>
      <c r="E77" s="3">
        <v>870</v>
      </c>
      <c r="F77" s="4">
        <v>6583</v>
      </c>
      <c r="G77" s="3">
        <v>335</v>
      </c>
      <c r="H77" s="5" t="s">
        <v>20</v>
      </c>
      <c r="I77" s="6">
        <v>5.0000000000000001E-3</v>
      </c>
    </row>
    <row r="78" spans="1:9" ht="23.1" customHeight="1" x14ac:dyDescent="0.25">
      <c r="A78" s="1" t="s">
        <v>97</v>
      </c>
      <c r="B78" s="1" t="s">
        <v>98</v>
      </c>
      <c r="C78" s="2" t="s">
        <v>51</v>
      </c>
      <c r="D78" s="33" t="s">
        <v>3</v>
      </c>
      <c r="E78" s="3">
        <v>1110</v>
      </c>
      <c r="F78" s="4">
        <v>8559</v>
      </c>
      <c r="G78" s="3">
        <v>338</v>
      </c>
      <c r="H78" s="5" t="s">
        <v>4</v>
      </c>
      <c r="I78" s="6">
        <v>3.3000000000000002E-2</v>
      </c>
    </row>
    <row r="79" spans="1:9" ht="21.9" customHeight="1" x14ac:dyDescent="0.25">
      <c r="A79" s="1" t="s">
        <v>24</v>
      </c>
      <c r="B79" s="1" t="s">
        <v>23</v>
      </c>
      <c r="C79" s="2" t="s">
        <v>99</v>
      </c>
      <c r="D79" s="33" t="s">
        <v>3</v>
      </c>
      <c r="E79" s="3">
        <v>1110</v>
      </c>
      <c r="F79" s="4">
        <v>5107</v>
      </c>
      <c r="G79" s="3">
        <v>452</v>
      </c>
      <c r="H79" s="5" t="s">
        <v>4</v>
      </c>
      <c r="I79" s="6">
        <v>3.3000000000000002E-2</v>
      </c>
    </row>
    <row r="80" spans="1:9" ht="23.1" customHeight="1" x14ac:dyDescent="0.25">
      <c r="A80" s="1" t="s">
        <v>24</v>
      </c>
      <c r="B80" s="1" t="s">
        <v>99</v>
      </c>
      <c r="C80" s="2" t="s">
        <v>22</v>
      </c>
      <c r="D80" s="33" t="s">
        <v>3</v>
      </c>
      <c r="E80" s="3">
        <v>890</v>
      </c>
      <c r="F80" s="4">
        <v>5548</v>
      </c>
      <c r="G80" s="3">
        <v>261</v>
      </c>
      <c r="H80" s="5" t="s">
        <v>4</v>
      </c>
      <c r="I80" s="6">
        <v>3.4000000000000002E-2</v>
      </c>
    </row>
    <row r="81" spans="1:9" ht="21.9" customHeight="1" x14ac:dyDescent="0.25">
      <c r="A81" s="1" t="s">
        <v>100</v>
      </c>
      <c r="B81" s="1" t="s">
        <v>28</v>
      </c>
      <c r="C81" s="2" t="s">
        <v>101</v>
      </c>
      <c r="D81" s="33" t="s">
        <v>11</v>
      </c>
      <c r="E81" s="3">
        <v>1070</v>
      </c>
      <c r="F81" s="4">
        <v>3572</v>
      </c>
      <c r="G81" s="3">
        <v>252</v>
      </c>
      <c r="H81" s="5" t="s">
        <v>4</v>
      </c>
      <c r="I81" s="6">
        <v>3.3000000000000002E-2</v>
      </c>
    </row>
    <row r="82" spans="1:9" ht="21.9" customHeight="1" x14ac:dyDescent="0.25">
      <c r="A82" s="1" t="s">
        <v>102</v>
      </c>
      <c r="B82" s="1" t="s">
        <v>38</v>
      </c>
      <c r="C82" s="2" t="s">
        <v>30</v>
      </c>
      <c r="D82" s="34" t="s">
        <v>31</v>
      </c>
      <c r="E82" s="3">
        <v>695</v>
      </c>
      <c r="F82" s="4">
        <v>2692</v>
      </c>
      <c r="G82" s="3">
        <v>139</v>
      </c>
      <c r="H82" s="5" t="s">
        <v>20</v>
      </c>
      <c r="I82" s="6">
        <v>5.0000000000000001E-3</v>
      </c>
    </row>
    <row r="83" spans="1:9" ht="23.1" customHeight="1" x14ac:dyDescent="0.25">
      <c r="A83" s="1" t="s">
        <v>103</v>
      </c>
      <c r="B83" s="1" t="s">
        <v>22</v>
      </c>
      <c r="C83" s="2" t="s">
        <v>104</v>
      </c>
      <c r="D83" s="33" t="s">
        <v>3</v>
      </c>
      <c r="E83" s="3">
        <v>1110</v>
      </c>
      <c r="F83" s="4">
        <v>2309</v>
      </c>
      <c r="G83" s="3">
        <v>95</v>
      </c>
      <c r="H83" s="5" t="s">
        <v>4</v>
      </c>
      <c r="I83" s="6">
        <v>5.0000000000000001E-3</v>
      </c>
    </row>
    <row r="84" spans="1:9" ht="21.9" customHeight="1" x14ac:dyDescent="0.25">
      <c r="A84" s="1" t="s">
        <v>105</v>
      </c>
      <c r="B84" s="1" t="s">
        <v>106</v>
      </c>
      <c r="C84" s="2" t="s">
        <v>28</v>
      </c>
      <c r="D84" s="33" t="s">
        <v>3</v>
      </c>
      <c r="E84" s="3">
        <v>1110</v>
      </c>
      <c r="F84" s="4">
        <v>3682</v>
      </c>
      <c r="G84" s="3">
        <v>171</v>
      </c>
      <c r="H84" s="5" t="s">
        <v>4</v>
      </c>
      <c r="I84" s="6">
        <v>5.0000000000000001E-3</v>
      </c>
    </row>
    <row r="85" spans="1:9" ht="23.1" customHeight="1" x14ac:dyDescent="0.25">
      <c r="A85" s="1" t="s">
        <v>107</v>
      </c>
      <c r="B85" s="1" t="s">
        <v>108</v>
      </c>
      <c r="C85" s="2" t="s">
        <v>109</v>
      </c>
      <c r="D85" s="33" t="s">
        <v>3</v>
      </c>
      <c r="E85" s="3">
        <v>1110</v>
      </c>
      <c r="F85" s="4">
        <v>5756</v>
      </c>
      <c r="G85" s="3">
        <v>342</v>
      </c>
      <c r="H85" s="5" t="s">
        <v>4</v>
      </c>
      <c r="I85" s="6">
        <v>5.0000000000000001E-3</v>
      </c>
    </row>
    <row r="86" spans="1:9" ht="21.9" customHeight="1" x14ac:dyDescent="0.25">
      <c r="A86" s="1" t="s">
        <v>68</v>
      </c>
      <c r="B86" s="1" t="s">
        <v>110</v>
      </c>
      <c r="C86" s="2" t="s">
        <v>7</v>
      </c>
      <c r="D86" s="33" t="s">
        <v>3</v>
      </c>
      <c r="E86" s="3">
        <v>1110</v>
      </c>
      <c r="F86" s="4">
        <v>5981</v>
      </c>
      <c r="G86" s="3">
        <v>325</v>
      </c>
      <c r="H86" s="5" t="s">
        <v>4</v>
      </c>
      <c r="I86" s="6">
        <v>3.4000000000000002E-2</v>
      </c>
    </row>
    <row r="87" spans="1:9" ht="23.1" customHeight="1" x14ac:dyDescent="0.25">
      <c r="A87" s="1" t="s">
        <v>68</v>
      </c>
      <c r="B87" s="1" t="s">
        <v>7</v>
      </c>
      <c r="C87" s="2" t="s">
        <v>61</v>
      </c>
      <c r="D87" s="34" t="s">
        <v>31</v>
      </c>
      <c r="E87" s="3">
        <v>870</v>
      </c>
      <c r="F87" s="4">
        <v>11818</v>
      </c>
      <c r="G87" s="3">
        <v>564</v>
      </c>
      <c r="H87" s="5" t="s">
        <v>20</v>
      </c>
      <c r="I87" s="6">
        <v>5.0000000000000001E-3</v>
      </c>
    </row>
    <row r="88" spans="1:9" ht="21.9" customHeight="1" x14ac:dyDescent="0.25">
      <c r="A88" s="1" t="s">
        <v>68</v>
      </c>
      <c r="B88" s="1" t="s">
        <v>61</v>
      </c>
      <c r="C88" s="2" t="s">
        <v>111</v>
      </c>
      <c r="D88" s="33" t="s">
        <v>3</v>
      </c>
      <c r="E88" s="3">
        <v>1110</v>
      </c>
      <c r="F88" s="4">
        <v>4849</v>
      </c>
      <c r="G88" s="3">
        <v>251</v>
      </c>
      <c r="H88" s="5" t="s">
        <v>4</v>
      </c>
      <c r="I88" s="6">
        <v>5.0000000000000001E-3</v>
      </c>
    </row>
    <row r="89" spans="1:9" ht="23.1" customHeight="1" x14ac:dyDescent="0.25">
      <c r="A89" s="1" t="s">
        <v>68</v>
      </c>
      <c r="B89" s="1" t="s">
        <v>111</v>
      </c>
      <c r="C89" s="2" t="s">
        <v>112</v>
      </c>
      <c r="D89" s="33" t="s">
        <v>3</v>
      </c>
      <c r="E89" s="3">
        <v>1110</v>
      </c>
      <c r="F89" s="4">
        <v>7457</v>
      </c>
      <c r="G89" s="3">
        <v>304</v>
      </c>
      <c r="H89" s="5" t="s">
        <v>4</v>
      </c>
      <c r="I89" s="6">
        <v>5.0000000000000001E-3</v>
      </c>
    </row>
    <row r="90" spans="1:9" ht="21.9" customHeight="1" x14ac:dyDescent="0.25">
      <c r="A90" s="1" t="s">
        <v>111</v>
      </c>
      <c r="B90" s="1" t="s">
        <v>61</v>
      </c>
      <c r="C90" s="2" t="s">
        <v>68</v>
      </c>
      <c r="D90" s="33" t="s">
        <v>3</v>
      </c>
      <c r="E90" s="3">
        <v>1110</v>
      </c>
      <c r="F90" s="4">
        <v>6332</v>
      </c>
      <c r="G90" s="3">
        <v>325</v>
      </c>
      <c r="H90" s="5" t="s">
        <v>4</v>
      </c>
      <c r="I90" s="6">
        <v>0.02</v>
      </c>
    </row>
    <row r="91" spans="1:9" ht="21.9" customHeight="1" x14ac:dyDescent="0.25">
      <c r="A91" s="1" t="s">
        <v>19</v>
      </c>
      <c r="B91" s="1" t="s">
        <v>1</v>
      </c>
      <c r="C91" s="2" t="s">
        <v>17</v>
      </c>
      <c r="D91" s="33" t="s">
        <v>11</v>
      </c>
      <c r="E91" s="3">
        <v>1070</v>
      </c>
      <c r="F91" s="4">
        <v>1620</v>
      </c>
      <c r="G91" s="3">
        <v>114</v>
      </c>
      <c r="H91" s="5" t="s">
        <v>4</v>
      </c>
      <c r="I91" s="6">
        <v>5.0000000000000001E-3</v>
      </c>
    </row>
    <row r="92" spans="1:9" ht="23.1" customHeight="1" x14ac:dyDescent="0.25">
      <c r="A92" s="1" t="s">
        <v>62</v>
      </c>
      <c r="B92" s="1" t="s">
        <v>68</v>
      </c>
      <c r="C92" s="2" t="s">
        <v>113</v>
      </c>
      <c r="D92" s="33" t="s">
        <v>3</v>
      </c>
      <c r="E92" s="3">
        <v>1110</v>
      </c>
      <c r="F92" s="4">
        <v>5474</v>
      </c>
      <c r="G92" s="3">
        <v>302</v>
      </c>
      <c r="H92" s="5" t="s">
        <v>4</v>
      </c>
      <c r="I92" s="6">
        <v>5.0000000000000001E-3</v>
      </c>
    </row>
    <row r="93" spans="1:9" ht="21.9" customHeight="1" x14ac:dyDescent="0.25">
      <c r="A93" s="1" t="s">
        <v>62</v>
      </c>
      <c r="B93" s="1" t="s">
        <v>113</v>
      </c>
      <c r="C93" s="2" t="s">
        <v>36</v>
      </c>
      <c r="D93" s="33" t="s">
        <v>3</v>
      </c>
      <c r="E93" s="3">
        <v>1110</v>
      </c>
      <c r="F93" s="4">
        <v>9804</v>
      </c>
      <c r="G93" s="3">
        <v>859</v>
      </c>
      <c r="H93" s="5" t="s">
        <v>4</v>
      </c>
      <c r="I93" s="6">
        <v>5.0000000000000001E-3</v>
      </c>
    </row>
    <row r="94" spans="1:9" ht="23.1" customHeight="1" x14ac:dyDescent="0.25">
      <c r="A94" s="1" t="s">
        <v>114</v>
      </c>
      <c r="B94" s="1" t="s">
        <v>115</v>
      </c>
      <c r="C94" s="2" t="s">
        <v>116</v>
      </c>
      <c r="D94" s="34" t="s">
        <v>31</v>
      </c>
      <c r="E94" s="3">
        <v>915</v>
      </c>
      <c r="F94" s="4">
        <v>9241</v>
      </c>
      <c r="G94" s="3">
        <v>498</v>
      </c>
      <c r="H94" s="5" t="s">
        <v>16</v>
      </c>
      <c r="I94" s="6">
        <v>5.0000000000000001E-3</v>
      </c>
    </row>
    <row r="95" spans="1:9" ht="21.9" customHeight="1" x14ac:dyDescent="0.25">
      <c r="A95" s="1" t="s">
        <v>114</v>
      </c>
      <c r="B95" s="1" t="s">
        <v>116</v>
      </c>
      <c r="C95" s="2" t="s">
        <v>61</v>
      </c>
      <c r="D95" s="34" t="s">
        <v>31</v>
      </c>
      <c r="E95" s="3">
        <v>1880</v>
      </c>
      <c r="F95" s="4">
        <v>11882</v>
      </c>
      <c r="G95" s="3">
        <v>581</v>
      </c>
      <c r="H95" s="5" t="s">
        <v>4</v>
      </c>
      <c r="I95" s="6">
        <v>5.0000000000000001E-3</v>
      </c>
    </row>
    <row r="96" spans="1:9" ht="21.9" customHeight="1" x14ac:dyDescent="0.25">
      <c r="A96" s="1" t="s">
        <v>80</v>
      </c>
      <c r="B96" s="1" t="s">
        <v>1</v>
      </c>
      <c r="C96" s="2" t="s">
        <v>30</v>
      </c>
      <c r="D96" s="33" t="s">
        <v>3</v>
      </c>
      <c r="E96" s="3">
        <v>1110</v>
      </c>
      <c r="F96" s="4">
        <v>5871</v>
      </c>
      <c r="G96" s="3">
        <v>238</v>
      </c>
      <c r="H96" s="5" t="s">
        <v>4</v>
      </c>
      <c r="I96" s="6">
        <v>3.1E-2</v>
      </c>
    </row>
    <row r="97" spans="1:9" ht="21.9" customHeight="1" x14ac:dyDescent="0.25">
      <c r="A97" s="1" t="s">
        <v>80</v>
      </c>
      <c r="B97" s="1" t="s">
        <v>30</v>
      </c>
      <c r="C97" s="2" t="s">
        <v>56</v>
      </c>
      <c r="D97" s="33" t="s">
        <v>3</v>
      </c>
      <c r="E97" s="3">
        <v>1110</v>
      </c>
      <c r="F97" s="4">
        <v>2270</v>
      </c>
      <c r="G97" s="3">
        <v>110</v>
      </c>
      <c r="H97" s="5" t="s">
        <v>4</v>
      </c>
      <c r="I97" s="6">
        <v>4.2000000000000003E-2</v>
      </c>
    </row>
    <row r="98" spans="1:9" ht="23.1" customHeight="1" x14ac:dyDescent="0.25">
      <c r="A98" s="1" t="s">
        <v>116</v>
      </c>
      <c r="B98" s="1" t="s">
        <v>61</v>
      </c>
      <c r="C98" s="2" t="s">
        <v>114</v>
      </c>
      <c r="D98" s="34" t="s">
        <v>31</v>
      </c>
      <c r="E98" s="3">
        <v>915</v>
      </c>
      <c r="F98" s="4">
        <v>8379</v>
      </c>
      <c r="G98" s="3">
        <v>509</v>
      </c>
      <c r="H98" s="5" t="s">
        <v>16</v>
      </c>
      <c r="I98" s="6">
        <v>5.0000000000000001E-3</v>
      </c>
    </row>
    <row r="99" spans="1:9" ht="21.9" customHeight="1" x14ac:dyDescent="0.25">
      <c r="A99" s="1" t="s">
        <v>117</v>
      </c>
      <c r="B99" s="1" t="s">
        <v>61</v>
      </c>
      <c r="C99" s="2" t="s">
        <v>1</v>
      </c>
      <c r="D99" s="33" t="s">
        <v>3</v>
      </c>
      <c r="E99" s="3">
        <v>890</v>
      </c>
      <c r="F99" s="4">
        <v>7871</v>
      </c>
      <c r="G99" s="3">
        <v>394</v>
      </c>
      <c r="H99" s="5" t="s">
        <v>4</v>
      </c>
      <c r="I99" s="6">
        <v>5.0000000000000001E-3</v>
      </c>
    </row>
    <row r="100" spans="1:9" ht="23.1" customHeight="1" x14ac:dyDescent="0.25">
      <c r="A100" s="1" t="s">
        <v>98</v>
      </c>
      <c r="B100" s="1" t="s">
        <v>51</v>
      </c>
      <c r="C100" s="2" t="s">
        <v>97</v>
      </c>
      <c r="D100" s="33" t="s">
        <v>3</v>
      </c>
      <c r="E100" s="3">
        <v>1110</v>
      </c>
      <c r="F100" s="4">
        <v>3375</v>
      </c>
      <c r="G100" s="3">
        <v>212</v>
      </c>
      <c r="H100" s="5" t="s">
        <v>4</v>
      </c>
      <c r="I100" s="6">
        <v>2.1000000000000001E-2</v>
      </c>
    </row>
    <row r="101" spans="1:9" ht="21.9" customHeight="1" x14ac:dyDescent="0.25">
      <c r="A101" s="1" t="s">
        <v>50</v>
      </c>
      <c r="B101" s="1" t="s">
        <v>118</v>
      </c>
      <c r="C101" s="2" t="s">
        <v>44</v>
      </c>
      <c r="D101" s="34" t="s">
        <v>31</v>
      </c>
      <c r="E101" s="3">
        <v>870</v>
      </c>
      <c r="F101" s="4">
        <v>11309</v>
      </c>
      <c r="G101" s="3">
        <v>608</v>
      </c>
      <c r="H101" s="5" t="s">
        <v>20</v>
      </c>
      <c r="I101" s="6">
        <v>5.0000000000000001E-3</v>
      </c>
    </row>
    <row r="102" spans="1:9" ht="23.1" customHeight="1" x14ac:dyDescent="0.25">
      <c r="A102" s="1" t="s">
        <v>119</v>
      </c>
      <c r="B102" s="1" t="s">
        <v>28</v>
      </c>
      <c r="C102" s="2" t="s">
        <v>29</v>
      </c>
      <c r="D102" s="33" t="s">
        <v>3</v>
      </c>
      <c r="E102" s="3">
        <v>1110</v>
      </c>
      <c r="F102" s="4">
        <v>10189</v>
      </c>
      <c r="G102" s="3">
        <v>510</v>
      </c>
      <c r="H102" s="5" t="s">
        <v>4</v>
      </c>
      <c r="I102" s="6">
        <v>3.7999999999999999E-2</v>
      </c>
    </row>
    <row r="103" spans="1:9" ht="21.9" customHeight="1" x14ac:dyDescent="0.25">
      <c r="A103" s="1" t="s">
        <v>119</v>
      </c>
      <c r="B103" s="1" t="s">
        <v>29</v>
      </c>
      <c r="C103" s="2" t="s">
        <v>1</v>
      </c>
      <c r="D103" s="34" t="s">
        <v>31</v>
      </c>
      <c r="E103" s="3">
        <v>915</v>
      </c>
      <c r="F103" s="4">
        <v>9651</v>
      </c>
      <c r="G103" s="3">
        <v>486</v>
      </c>
      <c r="H103" s="5" t="s">
        <v>16</v>
      </c>
      <c r="I103" s="6">
        <v>2.7E-2</v>
      </c>
    </row>
    <row r="104" spans="1:9" ht="23.1" customHeight="1" x14ac:dyDescent="0.25">
      <c r="A104" s="1" t="s">
        <v>18</v>
      </c>
      <c r="B104" s="1" t="s">
        <v>28</v>
      </c>
      <c r="C104" s="2" t="s">
        <v>29</v>
      </c>
      <c r="D104" s="33" t="s">
        <v>3</v>
      </c>
      <c r="E104" s="3">
        <v>1110</v>
      </c>
      <c r="F104" s="4">
        <v>8049</v>
      </c>
      <c r="G104" s="3">
        <v>434</v>
      </c>
      <c r="H104" s="5" t="s">
        <v>4</v>
      </c>
      <c r="I104" s="6">
        <v>7.0000000000000001E-3</v>
      </c>
    </row>
    <row r="105" spans="1:9" ht="21.9" customHeight="1" x14ac:dyDescent="0.25">
      <c r="A105" s="1" t="s">
        <v>18</v>
      </c>
      <c r="B105" s="1" t="s">
        <v>29</v>
      </c>
      <c r="C105" s="2" t="s">
        <v>1</v>
      </c>
      <c r="D105" s="34" t="s">
        <v>31</v>
      </c>
      <c r="E105" s="3">
        <v>915</v>
      </c>
      <c r="F105" s="4">
        <v>9026</v>
      </c>
      <c r="G105" s="3">
        <v>544</v>
      </c>
      <c r="H105" s="5" t="s">
        <v>16</v>
      </c>
      <c r="I105" s="6">
        <v>5.0000000000000001E-3</v>
      </c>
    </row>
    <row r="106" spans="1:9" ht="21.9" customHeight="1" x14ac:dyDescent="0.25">
      <c r="A106" s="1" t="s">
        <v>18</v>
      </c>
      <c r="B106" s="1" t="s">
        <v>1</v>
      </c>
      <c r="C106" s="2" t="s">
        <v>17</v>
      </c>
      <c r="D106" s="34" t="s">
        <v>31</v>
      </c>
      <c r="E106" s="3">
        <v>870</v>
      </c>
      <c r="F106" s="4">
        <v>8798</v>
      </c>
      <c r="G106" s="3">
        <v>373</v>
      </c>
      <c r="H106" s="5" t="s">
        <v>20</v>
      </c>
      <c r="I106" s="6">
        <v>5.0000000000000001E-3</v>
      </c>
    </row>
    <row r="107" spans="1:9" ht="23.1" customHeight="1" x14ac:dyDescent="0.25">
      <c r="A107" s="1" t="s">
        <v>18</v>
      </c>
      <c r="B107" s="1" t="s">
        <v>17</v>
      </c>
      <c r="C107" s="2" t="s">
        <v>30</v>
      </c>
      <c r="D107" s="34" t="s">
        <v>31</v>
      </c>
      <c r="E107" s="3">
        <v>870</v>
      </c>
      <c r="F107" s="4">
        <v>7166</v>
      </c>
      <c r="G107" s="3">
        <v>290</v>
      </c>
      <c r="H107" s="5" t="s">
        <v>20</v>
      </c>
      <c r="I107" s="6">
        <v>5.0000000000000001E-3</v>
      </c>
    </row>
    <row r="108" spans="1:9" ht="21.9" customHeight="1" x14ac:dyDescent="0.25">
      <c r="A108" s="1" t="s">
        <v>120</v>
      </c>
      <c r="B108" s="1" t="s">
        <v>121</v>
      </c>
      <c r="C108" s="2" t="s">
        <v>1</v>
      </c>
      <c r="D108" s="33" t="s">
        <v>3</v>
      </c>
      <c r="E108" s="3">
        <v>1850</v>
      </c>
      <c r="F108" s="4">
        <v>5904</v>
      </c>
      <c r="G108" s="3">
        <v>269</v>
      </c>
      <c r="H108" s="5" t="s">
        <v>4</v>
      </c>
      <c r="I108" s="6">
        <v>5.0000000000000001E-3</v>
      </c>
    </row>
    <row r="109" spans="1:9" ht="23.1" customHeight="1" x14ac:dyDescent="0.25">
      <c r="A109" s="1" t="s">
        <v>122</v>
      </c>
      <c r="B109" s="1" t="s">
        <v>109</v>
      </c>
      <c r="C109" s="2" t="s">
        <v>98</v>
      </c>
      <c r="D109" s="33" t="s">
        <v>3</v>
      </c>
      <c r="E109" s="3">
        <v>1110</v>
      </c>
      <c r="F109" s="4">
        <v>11397</v>
      </c>
      <c r="G109" s="3">
        <v>476</v>
      </c>
      <c r="H109" s="5" t="s">
        <v>4</v>
      </c>
      <c r="I109" s="6">
        <v>4.7E-2</v>
      </c>
    </row>
    <row r="110" spans="1:9" ht="21.9" customHeight="1" x14ac:dyDescent="0.25">
      <c r="A110" s="1" t="s">
        <v>48</v>
      </c>
      <c r="B110" s="1" t="s">
        <v>43</v>
      </c>
      <c r="C110" s="2" t="s">
        <v>51</v>
      </c>
      <c r="D110" s="33" t="s">
        <v>3</v>
      </c>
      <c r="E110" s="3">
        <v>1110</v>
      </c>
      <c r="F110" s="4">
        <v>1846</v>
      </c>
      <c r="G110" s="3">
        <v>98</v>
      </c>
      <c r="H110" s="5" t="s">
        <v>4</v>
      </c>
      <c r="I110" s="6">
        <v>3.1E-2</v>
      </c>
    </row>
    <row r="111" spans="1:9" ht="23.1" customHeight="1" x14ac:dyDescent="0.25">
      <c r="A111" s="1" t="s">
        <v>123</v>
      </c>
      <c r="B111" s="1" t="s">
        <v>23</v>
      </c>
      <c r="C111" s="2" t="s">
        <v>30</v>
      </c>
      <c r="D111" s="34" t="s">
        <v>15</v>
      </c>
      <c r="E111" s="3">
        <v>2910</v>
      </c>
      <c r="F111" s="4">
        <v>19846</v>
      </c>
      <c r="G111" s="3">
        <v>916</v>
      </c>
      <c r="H111" s="5" t="s">
        <v>35</v>
      </c>
      <c r="I111" s="6">
        <v>5.0000000000000001E-3</v>
      </c>
    </row>
    <row r="112" spans="1:9" ht="21.9" customHeight="1" x14ac:dyDescent="0.25">
      <c r="A112" s="1" t="s">
        <v>123</v>
      </c>
      <c r="B112" s="1" t="s">
        <v>30</v>
      </c>
      <c r="C112" s="2" t="s">
        <v>38</v>
      </c>
      <c r="D112" s="33" t="s">
        <v>3</v>
      </c>
      <c r="E112" s="3">
        <v>1850</v>
      </c>
      <c r="F112" s="4">
        <v>16983</v>
      </c>
      <c r="G112" s="3">
        <v>876</v>
      </c>
      <c r="H112" s="5" t="s">
        <v>4</v>
      </c>
      <c r="I112" s="6">
        <v>5.0000000000000001E-3</v>
      </c>
    </row>
    <row r="113" spans="1:9" ht="23.1" customHeight="1" x14ac:dyDescent="0.25">
      <c r="A113" s="1" t="s">
        <v>123</v>
      </c>
      <c r="B113" s="1" t="s">
        <v>38</v>
      </c>
      <c r="C113" s="2" t="s">
        <v>80</v>
      </c>
      <c r="D113" s="33" t="s">
        <v>11</v>
      </c>
      <c r="E113" s="3">
        <v>1810</v>
      </c>
      <c r="F113" s="4">
        <v>23762</v>
      </c>
      <c r="G113" s="4">
        <v>1551</v>
      </c>
      <c r="H113" s="5" t="s">
        <v>16</v>
      </c>
      <c r="I113" s="6">
        <v>5.0000000000000001E-3</v>
      </c>
    </row>
    <row r="114" spans="1:9" ht="21.9" customHeight="1" x14ac:dyDescent="0.25">
      <c r="A114" s="1" t="s">
        <v>123</v>
      </c>
      <c r="B114" s="1" t="s">
        <v>80</v>
      </c>
      <c r="C114" s="2" t="s">
        <v>120</v>
      </c>
      <c r="D114" s="33" t="s">
        <v>3</v>
      </c>
      <c r="E114" s="3">
        <v>1850</v>
      </c>
      <c r="F114" s="4">
        <v>25850</v>
      </c>
      <c r="G114" s="4">
        <v>1158</v>
      </c>
      <c r="H114" s="5" t="s">
        <v>4</v>
      </c>
      <c r="I114" s="6">
        <v>2.3E-2</v>
      </c>
    </row>
    <row r="115" spans="1:9" ht="21.9" customHeight="1" x14ac:dyDescent="0.25">
      <c r="A115" s="1" t="s">
        <v>123</v>
      </c>
      <c r="B115" s="1" t="s">
        <v>120</v>
      </c>
      <c r="C115" s="2" t="s">
        <v>27</v>
      </c>
      <c r="D115" s="33" t="s">
        <v>11</v>
      </c>
      <c r="E115" s="3">
        <v>2680</v>
      </c>
      <c r="F115" s="4">
        <v>30175</v>
      </c>
      <c r="G115" s="4">
        <v>1411</v>
      </c>
      <c r="H115" s="5" t="s">
        <v>4</v>
      </c>
      <c r="I115" s="6">
        <v>5.0000000000000001E-3</v>
      </c>
    </row>
    <row r="116" spans="1:9" ht="23.1" customHeight="1" x14ac:dyDescent="0.25">
      <c r="A116" s="1" t="s">
        <v>123</v>
      </c>
      <c r="B116" s="1" t="s">
        <v>27</v>
      </c>
      <c r="C116" s="2" t="s">
        <v>18</v>
      </c>
      <c r="D116" s="33" t="s">
        <v>11</v>
      </c>
      <c r="E116" s="3">
        <v>2680</v>
      </c>
      <c r="F116" s="4">
        <v>31914</v>
      </c>
      <c r="G116" s="4">
        <v>1465</v>
      </c>
      <c r="H116" s="5" t="s">
        <v>4</v>
      </c>
      <c r="I116" s="6">
        <v>5.0000000000000001E-3</v>
      </c>
    </row>
    <row r="117" spans="1:9" ht="21.9" customHeight="1" x14ac:dyDescent="0.25">
      <c r="A117" s="1" t="s">
        <v>123</v>
      </c>
      <c r="B117" s="1" t="s">
        <v>18</v>
      </c>
      <c r="C117" s="2" t="s">
        <v>19</v>
      </c>
      <c r="D117" s="33" t="s">
        <v>11</v>
      </c>
      <c r="E117" s="3">
        <v>2680</v>
      </c>
      <c r="F117" s="4">
        <v>39484</v>
      </c>
      <c r="G117" s="4">
        <v>1704</v>
      </c>
      <c r="H117" s="5" t="s">
        <v>4</v>
      </c>
      <c r="I117" s="6">
        <v>5.0000000000000001E-3</v>
      </c>
    </row>
    <row r="118" spans="1:9" ht="23.1" customHeight="1" x14ac:dyDescent="0.25">
      <c r="A118" s="1" t="s">
        <v>123</v>
      </c>
      <c r="B118" s="1" t="s">
        <v>19</v>
      </c>
      <c r="C118" s="2" t="s">
        <v>21</v>
      </c>
      <c r="D118" s="33" t="s">
        <v>11</v>
      </c>
      <c r="E118" s="3">
        <v>2680</v>
      </c>
      <c r="F118" s="4">
        <v>36506</v>
      </c>
      <c r="G118" s="4">
        <v>1727</v>
      </c>
      <c r="H118" s="5" t="s">
        <v>4</v>
      </c>
      <c r="I118" s="6">
        <v>5.0000000000000001E-3</v>
      </c>
    </row>
    <row r="119" spans="1:9" ht="21.9" customHeight="1" x14ac:dyDescent="0.25">
      <c r="A119" s="1" t="s">
        <v>123</v>
      </c>
      <c r="B119" s="1" t="s">
        <v>21</v>
      </c>
      <c r="C119" s="2" t="s">
        <v>61</v>
      </c>
      <c r="D119" s="33" t="s">
        <v>11</v>
      </c>
      <c r="E119" s="3">
        <v>2680</v>
      </c>
      <c r="F119" s="4">
        <v>45276</v>
      </c>
      <c r="G119" s="4">
        <v>2176</v>
      </c>
      <c r="H119" s="5" t="s">
        <v>4</v>
      </c>
      <c r="I119" s="6">
        <v>5.0000000000000001E-3</v>
      </c>
    </row>
    <row r="120" spans="1:9" ht="21.9" customHeight="1" x14ac:dyDescent="0.25">
      <c r="A120" s="1" t="s">
        <v>123</v>
      </c>
      <c r="B120" s="1" t="s">
        <v>61</v>
      </c>
      <c r="C120" s="2" t="s">
        <v>124</v>
      </c>
      <c r="D120" s="36" t="s">
        <v>31</v>
      </c>
      <c r="E120" s="3">
        <v>2810</v>
      </c>
      <c r="F120" s="4">
        <v>36743</v>
      </c>
      <c r="G120" s="4">
        <v>1753</v>
      </c>
      <c r="H120" s="5" t="s">
        <v>4</v>
      </c>
      <c r="I120" s="6">
        <v>5.0000000000000001E-3</v>
      </c>
    </row>
    <row r="121" spans="1:9" ht="21.9" customHeight="1" x14ac:dyDescent="0.25">
      <c r="A121" s="1" t="s">
        <v>123</v>
      </c>
      <c r="B121" s="1" t="s">
        <v>125</v>
      </c>
      <c r="C121" s="2" t="s">
        <v>28</v>
      </c>
      <c r="D121" s="36" t="s">
        <v>31</v>
      </c>
      <c r="E121" s="3">
        <v>2810</v>
      </c>
      <c r="F121" s="4">
        <v>33378</v>
      </c>
      <c r="G121" s="4">
        <v>1336</v>
      </c>
      <c r="H121" s="5" t="s">
        <v>4</v>
      </c>
      <c r="I121" s="6">
        <v>6.0000000000000001E-3</v>
      </c>
    </row>
    <row r="122" spans="1:9" ht="23.1" customHeight="1" x14ac:dyDescent="0.25">
      <c r="A122" s="1" t="s">
        <v>123</v>
      </c>
      <c r="B122" s="1" t="s">
        <v>28</v>
      </c>
      <c r="C122" s="2" t="s">
        <v>117</v>
      </c>
      <c r="D122" s="36" t="s">
        <v>31</v>
      </c>
      <c r="E122" s="3">
        <v>2810</v>
      </c>
      <c r="F122" s="4">
        <v>47809</v>
      </c>
      <c r="G122" s="4">
        <v>1793</v>
      </c>
      <c r="H122" s="5" t="s">
        <v>4</v>
      </c>
      <c r="I122" s="6">
        <v>5.0000000000000001E-3</v>
      </c>
    </row>
    <row r="123" spans="1:9" ht="15.6" customHeight="1" x14ac:dyDescent="0.25">
      <c r="A123" s="7" t="s">
        <v>123</v>
      </c>
      <c r="B123" s="7" t="s">
        <v>117</v>
      </c>
      <c r="C123" s="8" t="s">
        <v>126</v>
      </c>
      <c r="D123" s="37" t="s">
        <v>31</v>
      </c>
      <c r="E123" s="9">
        <v>2810</v>
      </c>
      <c r="F123" s="10">
        <v>56184</v>
      </c>
      <c r="G123" s="10">
        <v>2178</v>
      </c>
      <c r="H123" s="11" t="s">
        <v>4</v>
      </c>
      <c r="I123" s="12">
        <v>6.0000000000000001E-3</v>
      </c>
    </row>
    <row r="124" spans="1:9" ht="22.5" customHeight="1" x14ac:dyDescent="0.25">
      <c r="A124" s="1" t="s">
        <v>123</v>
      </c>
      <c r="B124" s="1" t="s">
        <v>126</v>
      </c>
      <c r="C124" s="2" t="s">
        <v>127</v>
      </c>
      <c r="D124" s="36" t="s">
        <v>11</v>
      </c>
      <c r="E124" s="3">
        <v>2815</v>
      </c>
      <c r="F124" s="4">
        <v>59047</v>
      </c>
      <c r="G124" s="4">
        <v>2827</v>
      </c>
      <c r="H124" s="13" t="s">
        <v>60</v>
      </c>
      <c r="I124" s="6">
        <v>5.0000000000000001E-3</v>
      </c>
    </row>
    <row r="125" spans="1:9" ht="15" customHeight="1" x14ac:dyDescent="0.25">
      <c r="A125" s="14" t="s">
        <v>123</v>
      </c>
      <c r="B125" s="14" t="s">
        <v>127</v>
      </c>
      <c r="C125" s="15" t="s">
        <v>0</v>
      </c>
      <c r="D125" s="38" t="s">
        <v>11</v>
      </c>
      <c r="E125" s="16">
        <v>2680</v>
      </c>
      <c r="F125" s="17">
        <v>51265</v>
      </c>
      <c r="G125" s="17">
        <v>2215</v>
      </c>
      <c r="H125" s="18" t="s">
        <v>4</v>
      </c>
      <c r="I125" s="19">
        <v>5.0000000000000001E-3</v>
      </c>
    </row>
    <row r="126" spans="1:9" ht="23.1" customHeight="1" x14ac:dyDescent="0.25">
      <c r="A126" s="1" t="s">
        <v>123</v>
      </c>
      <c r="B126" s="1" t="s">
        <v>0</v>
      </c>
      <c r="C126" s="2" t="s">
        <v>9</v>
      </c>
      <c r="D126" s="36" t="s">
        <v>11</v>
      </c>
      <c r="E126" s="3">
        <v>2680</v>
      </c>
      <c r="F126" s="4">
        <v>47243</v>
      </c>
      <c r="G126" s="4">
        <v>2203</v>
      </c>
      <c r="H126" s="5" t="s">
        <v>4</v>
      </c>
      <c r="I126" s="6">
        <v>5.0000000000000001E-3</v>
      </c>
    </row>
    <row r="127" spans="1:9" ht="21.9" customHeight="1" x14ac:dyDescent="0.25">
      <c r="A127" s="1" t="s">
        <v>123</v>
      </c>
      <c r="B127" s="1" t="s">
        <v>9</v>
      </c>
      <c r="C127" s="2" t="s">
        <v>44</v>
      </c>
      <c r="D127" s="36" t="s">
        <v>11</v>
      </c>
      <c r="E127" s="3">
        <v>2930</v>
      </c>
      <c r="F127" s="4">
        <v>55790</v>
      </c>
      <c r="G127" s="4">
        <v>2543</v>
      </c>
      <c r="H127" s="5" t="s">
        <v>4</v>
      </c>
      <c r="I127" s="6">
        <v>5.0000000000000001E-3</v>
      </c>
    </row>
    <row r="128" spans="1:9" ht="23.1" customHeight="1" x14ac:dyDescent="0.25">
      <c r="A128" s="1" t="s">
        <v>123</v>
      </c>
      <c r="B128" s="1" t="s">
        <v>44</v>
      </c>
      <c r="C128" s="2" t="s">
        <v>91</v>
      </c>
      <c r="D128" s="36" t="s">
        <v>11</v>
      </c>
      <c r="E128" s="3">
        <v>3180</v>
      </c>
      <c r="F128" s="4">
        <v>65367</v>
      </c>
      <c r="G128" s="4">
        <v>2867</v>
      </c>
      <c r="H128" s="5" t="s">
        <v>4</v>
      </c>
      <c r="I128" s="6">
        <v>5.0000000000000001E-3</v>
      </c>
    </row>
    <row r="129" spans="1:9" ht="21.9" customHeight="1" x14ac:dyDescent="0.25">
      <c r="A129" s="1" t="s">
        <v>123</v>
      </c>
      <c r="B129" s="1" t="s">
        <v>91</v>
      </c>
      <c r="C129" s="2" t="s">
        <v>36</v>
      </c>
      <c r="D129" s="36" t="s">
        <v>11</v>
      </c>
      <c r="E129" s="3">
        <v>3180</v>
      </c>
      <c r="F129" s="4">
        <v>63100</v>
      </c>
      <c r="G129" s="4">
        <v>2855</v>
      </c>
      <c r="H129" s="5" t="s">
        <v>4</v>
      </c>
      <c r="I129" s="6">
        <v>1.0999999999999999E-2</v>
      </c>
    </row>
    <row r="130" spans="1:9" ht="21.9" customHeight="1" x14ac:dyDescent="0.25">
      <c r="A130" s="1" t="s">
        <v>128</v>
      </c>
      <c r="B130" s="1" t="s">
        <v>129</v>
      </c>
      <c r="C130" s="2" t="s">
        <v>64</v>
      </c>
      <c r="D130" s="36" t="s">
        <v>15</v>
      </c>
      <c r="E130" s="3">
        <v>730</v>
      </c>
      <c r="F130" s="4">
        <v>7253</v>
      </c>
      <c r="G130" s="3">
        <v>307</v>
      </c>
      <c r="H130" s="5" t="s">
        <v>4</v>
      </c>
      <c r="I130" s="6">
        <v>3.4000000000000002E-2</v>
      </c>
    </row>
    <row r="131" spans="1:9" ht="21.9" customHeight="1" x14ac:dyDescent="0.25">
      <c r="A131" s="1" t="s">
        <v>128</v>
      </c>
      <c r="B131" s="1" t="s">
        <v>64</v>
      </c>
      <c r="C131" s="2" t="s">
        <v>130</v>
      </c>
      <c r="D131" s="36" t="s">
        <v>15</v>
      </c>
      <c r="E131" s="3">
        <v>730</v>
      </c>
      <c r="F131" s="4">
        <v>8597</v>
      </c>
      <c r="G131" s="3">
        <v>362</v>
      </c>
      <c r="H131" s="5" t="s">
        <v>4</v>
      </c>
      <c r="I131" s="6">
        <v>3.7999999999999999E-2</v>
      </c>
    </row>
    <row r="132" spans="1:9" ht="23.1" customHeight="1" x14ac:dyDescent="0.25">
      <c r="A132" s="1" t="s">
        <v>128</v>
      </c>
      <c r="B132" s="1" t="s">
        <v>130</v>
      </c>
      <c r="C132" s="2" t="s">
        <v>131</v>
      </c>
      <c r="D132" s="36" t="s">
        <v>132</v>
      </c>
      <c r="E132" s="3">
        <v>940</v>
      </c>
      <c r="F132" s="4">
        <v>14316</v>
      </c>
      <c r="G132" s="3">
        <v>811</v>
      </c>
      <c r="H132" s="5" t="s">
        <v>4</v>
      </c>
      <c r="I132" s="6">
        <v>3.7999999999999999E-2</v>
      </c>
    </row>
    <row r="133" spans="1:9" ht="21.9" customHeight="1" x14ac:dyDescent="0.25">
      <c r="A133" s="1" t="s">
        <v>128</v>
      </c>
      <c r="B133" s="1" t="s">
        <v>131</v>
      </c>
      <c r="C133" s="2" t="s">
        <v>133</v>
      </c>
      <c r="D133" s="36" t="s">
        <v>15</v>
      </c>
      <c r="E133" s="3">
        <v>2910</v>
      </c>
      <c r="F133" s="4">
        <v>14316</v>
      </c>
      <c r="G133" s="3">
        <v>811</v>
      </c>
      <c r="H133" s="5" t="s">
        <v>35</v>
      </c>
      <c r="I133" s="6">
        <v>3.7999999999999999E-2</v>
      </c>
    </row>
    <row r="134" spans="1:9" ht="23.1" customHeight="1" x14ac:dyDescent="0.25">
      <c r="A134" s="1" t="s">
        <v>128</v>
      </c>
      <c r="B134" s="1" t="s">
        <v>76</v>
      </c>
      <c r="C134" s="2" t="s">
        <v>134</v>
      </c>
      <c r="D134" s="36" t="s">
        <v>15</v>
      </c>
      <c r="E134" s="3">
        <v>2910</v>
      </c>
      <c r="F134" s="4">
        <v>12617</v>
      </c>
      <c r="G134" s="3">
        <v>545</v>
      </c>
      <c r="H134" s="5" t="s">
        <v>35</v>
      </c>
      <c r="I134" s="6">
        <v>3.5000000000000003E-2</v>
      </c>
    </row>
    <row r="135" spans="1:9" ht="21.9" customHeight="1" x14ac:dyDescent="0.25">
      <c r="A135" s="1" t="s">
        <v>128</v>
      </c>
      <c r="B135" s="1" t="s">
        <v>28</v>
      </c>
      <c r="C135" s="2" t="s">
        <v>23</v>
      </c>
      <c r="D135" s="36" t="s">
        <v>15</v>
      </c>
      <c r="E135" s="3">
        <v>2910</v>
      </c>
      <c r="F135" s="4">
        <v>9176</v>
      </c>
      <c r="G135" s="3">
        <v>414</v>
      </c>
      <c r="H135" s="5" t="s">
        <v>35</v>
      </c>
      <c r="I135" s="6">
        <v>7.1999999999999995E-2</v>
      </c>
    </row>
    <row r="136" spans="1:9" ht="23.1" customHeight="1" x14ac:dyDescent="0.25">
      <c r="A136" s="1" t="s">
        <v>13</v>
      </c>
      <c r="B136" s="1" t="s">
        <v>54</v>
      </c>
      <c r="C136" s="2" t="s">
        <v>135</v>
      </c>
      <c r="D136" s="36" t="s">
        <v>3</v>
      </c>
      <c r="E136" s="3">
        <v>1110</v>
      </c>
      <c r="F136" s="4">
        <v>14984</v>
      </c>
      <c r="G136" s="3">
        <v>744</v>
      </c>
      <c r="H136" s="5" t="s">
        <v>4</v>
      </c>
      <c r="I136" s="6">
        <v>2.1000000000000001E-2</v>
      </c>
    </row>
    <row r="137" spans="1:9" ht="21.9" customHeight="1" x14ac:dyDescent="0.25">
      <c r="A137" s="1" t="s">
        <v>13</v>
      </c>
      <c r="B137" s="1" t="s">
        <v>135</v>
      </c>
      <c r="C137" s="2" t="s">
        <v>66</v>
      </c>
      <c r="D137" s="36" t="s">
        <v>11</v>
      </c>
      <c r="E137" s="3">
        <v>1810</v>
      </c>
      <c r="F137" s="4">
        <v>22005</v>
      </c>
      <c r="G137" s="4">
        <v>1175</v>
      </c>
      <c r="H137" s="5" t="s">
        <v>4</v>
      </c>
      <c r="I137" s="6">
        <v>8.0000000000000002E-3</v>
      </c>
    </row>
    <row r="138" spans="1:9" ht="23.1" customHeight="1" x14ac:dyDescent="0.25">
      <c r="A138" s="1" t="s">
        <v>136</v>
      </c>
      <c r="B138" s="1" t="s">
        <v>66</v>
      </c>
      <c r="C138" s="2" t="s">
        <v>67</v>
      </c>
      <c r="D138" s="36" t="s">
        <v>11</v>
      </c>
      <c r="E138" s="3">
        <v>1810</v>
      </c>
      <c r="F138" s="4">
        <v>21489</v>
      </c>
      <c r="G138" s="3">
        <v>940</v>
      </c>
      <c r="H138" s="5" t="s">
        <v>4</v>
      </c>
      <c r="I138" s="6">
        <v>8.9999999999999993E-3</v>
      </c>
    </row>
    <row r="139" spans="1:9" ht="21.9" customHeight="1" x14ac:dyDescent="0.25">
      <c r="A139" s="1" t="s">
        <v>136</v>
      </c>
      <c r="B139" s="1" t="s">
        <v>67</v>
      </c>
      <c r="C139" s="2" t="s">
        <v>111</v>
      </c>
      <c r="D139" s="36" t="s">
        <v>3</v>
      </c>
      <c r="E139" s="3">
        <v>1850</v>
      </c>
      <c r="F139" s="4">
        <v>31000</v>
      </c>
      <c r="G139" s="4">
        <v>1256</v>
      </c>
      <c r="H139" s="5" t="s">
        <v>4</v>
      </c>
      <c r="I139" s="6">
        <v>3.2000000000000001E-2</v>
      </c>
    </row>
    <row r="140" spans="1:9" ht="15.6" customHeight="1" x14ac:dyDescent="0.25">
      <c r="A140" s="7" t="s">
        <v>136</v>
      </c>
      <c r="B140" s="7" t="s">
        <v>111</v>
      </c>
      <c r="C140" s="8" t="s">
        <v>68</v>
      </c>
      <c r="D140" s="37" t="s">
        <v>3</v>
      </c>
      <c r="E140" s="9">
        <v>1850</v>
      </c>
      <c r="F140" s="10">
        <v>32528</v>
      </c>
      <c r="G140" s="10">
        <v>1724</v>
      </c>
      <c r="H140" s="11" t="s">
        <v>16</v>
      </c>
      <c r="I140" s="12">
        <v>5.0000000000000001E-3</v>
      </c>
    </row>
    <row r="141" spans="1:9" ht="22.5" customHeight="1" x14ac:dyDescent="0.25">
      <c r="A141" s="1" t="s">
        <v>137</v>
      </c>
      <c r="B141" s="1" t="s">
        <v>68</v>
      </c>
      <c r="C141" s="2" t="s">
        <v>28</v>
      </c>
      <c r="D141" s="36" t="s">
        <v>11</v>
      </c>
      <c r="E141" s="3">
        <v>1900</v>
      </c>
      <c r="F141" s="4">
        <v>35988</v>
      </c>
      <c r="G141" s="4">
        <v>2131</v>
      </c>
      <c r="H141" s="13" t="s">
        <v>60</v>
      </c>
      <c r="I141" s="6">
        <v>8.9999999999999993E-3</v>
      </c>
    </row>
    <row r="142" spans="1:9" ht="15" customHeight="1" x14ac:dyDescent="0.25">
      <c r="A142" s="14" t="s">
        <v>138</v>
      </c>
      <c r="B142" s="14" t="s">
        <v>28</v>
      </c>
      <c r="C142" s="15" t="s">
        <v>29</v>
      </c>
      <c r="D142" s="38" t="s">
        <v>11</v>
      </c>
      <c r="E142" s="16">
        <v>1810</v>
      </c>
      <c r="F142" s="17">
        <v>26408</v>
      </c>
      <c r="G142" s="17">
        <v>1198</v>
      </c>
      <c r="H142" s="18" t="s">
        <v>4</v>
      </c>
      <c r="I142" s="19">
        <v>4.1000000000000002E-2</v>
      </c>
    </row>
    <row r="143" spans="1:9" ht="22.65" customHeight="1" x14ac:dyDescent="0.25">
      <c r="A143" s="1" t="s">
        <v>138</v>
      </c>
      <c r="B143" s="1" t="s">
        <v>29</v>
      </c>
      <c r="C143" s="2" t="s">
        <v>139</v>
      </c>
      <c r="D143" s="36" t="s">
        <v>11</v>
      </c>
      <c r="E143" s="3">
        <v>1810</v>
      </c>
      <c r="F143" s="4">
        <v>25813</v>
      </c>
      <c r="G143" s="4">
        <v>1310</v>
      </c>
      <c r="H143" s="5" t="s">
        <v>4</v>
      </c>
      <c r="I143" s="6">
        <v>1.0999999999999999E-2</v>
      </c>
    </row>
    <row r="144" spans="1:9" ht="21.9" customHeight="1" x14ac:dyDescent="0.25">
      <c r="A144" s="1" t="s">
        <v>138</v>
      </c>
      <c r="B144" s="1" t="s">
        <v>139</v>
      </c>
      <c r="C144" s="2" t="s">
        <v>1</v>
      </c>
      <c r="D144" s="33" t="s">
        <v>11</v>
      </c>
      <c r="E144" s="3">
        <v>1900</v>
      </c>
      <c r="F144" s="4">
        <v>18812</v>
      </c>
      <c r="G144" s="3">
        <v>874</v>
      </c>
      <c r="H144" s="5" t="s">
        <v>4</v>
      </c>
      <c r="I144" s="6">
        <v>8.9999999999999993E-3</v>
      </c>
    </row>
    <row r="145" spans="1:9" ht="21.9" customHeight="1" x14ac:dyDescent="0.25">
      <c r="A145" s="1" t="s">
        <v>138</v>
      </c>
      <c r="B145" s="1" t="s">
        <v>1</v>
      </c>
      <c r="C145" s="2" t="s">
        <v>30</v>
      </c>
      <c r="D145" s="33" t="s">
        <v>11</v>
      </c>
      <c r="E145" s="3">
        <v>1900</v>
      </c>
      <c r="F145" s="4">
        <v>20071</v>
      </c>
      <c r="G145" s="4">
        <v>1264</v>
      </c>
      <c r="H145" s="5" t="s">
        <v>4</v>
      </c>
      <c r="I145" s="6">
        <v>5.0000000000000001E-3</v>
      </c>
    </row>
    <row r="146" spans="1:9" ht="23.1" customHeight="1" x14ac:dyDescent="0.25">
      <c r="A146" s="1" t="s">
        <v>138</v>
      </c>
      <c r="B146" s="1" t="s">
        <v>30</v>
      </c>
      <c r="C146" s="2" t="s">
        <v>109</v>
      </c>
      <c r="D146" s="33" t="s">
        <v>11</v>
      </c>
      <c r="E146" s="3">
        <v>1810</v>
      </c>
      <c r="F146" s="4">
        <v>19912</v>
      </c>
      <c r="G146" s="3">
        <v>894</v>
      </c>
      <c r="H146" s="5" t="s">
        <v>4</v>
      </c>
      <c r="I146" s="6">
        <v>6.0000000000000001E-3</v>
      </c>
    </row>
    <row r="147" spans="1:9" ht="21.9" customHeight="1" x14ac:dyDescent="0.25">
      <c r="A147" s="1" t="s">
        <v>140</v>
      </c>
      <c r="B147" s="1" t="s">
        <v>51</v>
      </c>
      <c r="C147" s="2" t="s">
        <v>109</v>
      </c>
      <c r="D147" s="33" t="s">
        <v>3</v>
      </c>
      <c r="E147" s="3">
        <v>1110</v>
      </c>
      <c r="F147" s="4">
        <v>13568</v>
      </c>
      <c r="G147" s="3">
        <v>762</v>
      </c>
      <c r="H147" s="5" t="s">
        <v>4</v>
      </c>
      <c r="I147" s="6">
        <v>1.7999999999999999E-2</v>
      </c>
    </row>
    <row r="148" spans="1:9" ht="23.1" customHeight="1" x14ac:dyDescent="0.25">
      <c r="A148" s="1" t="s">
        <v>141</v>
      </c>
      <c r="B148" s="1" t="s">
        <v>1</v>
      </c>
      <c r="C148" s="2" t="s">
        <v>2</v>
      </c>
      <c r="D148" s="33" t="s">
        <v>3</v>
      </c>
      <c r="E148" s="3">
        <v>1850</v>
      </c>
      <c r="F148" s="4">
        <v>24707</v>
      </c>
      <c r="G148" s="4">
        <v>1334</v>
      </c>
      <c r="H148" s="5" t="s">
        <v>4</v>
      </c>
      <c r="I148" s="6">
        <v>5.0000000000000001E-3</v>
      </c>
    </row>
    <row r="149" spans="1:9" ht="21.9" customHeight="1" x14ac:dyDescent="0.25">
      <c r="A149" s="1" t="s">
        <v>141</v>
      </c>
      <c r="B149" s="1" t="s">
        <v>2</v>
      </c>
      <c r="C149" s="2" t="s">
        <v>47</v>
      </c>
      <c r="D149" s="33" t="s">
        <v>3</v>
      </c>
      <c r="E149" s="3">
        <v>1945</v>
      </c>
      <c r="F149" s="4">
        <v>24777</v>
      </c>
      <c r="G149" s="4">
        <v>1156</v>
      </c>
      <c r="H149" s="5" t="s">
        <v>4</v>
      </c>
      <c r="I149" s="6">
        <v>0.01</v>
      </c>
    </row>
    <row r="150" spans="1:9" ht="23.1" customHeight="1" x14ac:dyDescent="0.25">
      <c r="A150" s="1" t="s">
        <v>142</v>
      </c>
      <c r="B150" s="1" t="s">
        <v>143</v>
      </c>
      <c r="C150" s="2" t="s">
        <v>34</v>
      </c>
      <c r="D150" s="34" t="s">
        <v>15</v>
      </c>
      <c r="E150" s="3">
        <v>730</v>
      </c>
      <c r="F150" s="4">
        <v>2170</v>
      </c>
      <c r="G150" s="3">
        <v>101</v>
      </c>
      <c r="H150" s="5" t="s">
        <v>35</v>
      </c>
      <c r="I150" s="6">
        <v>5.0000000000000001E-3</v>
      </c>
    </row>
    <row r="151" spans="1:9" ht="21.9" customHeight="1" x14ac:dyDescent="0.25">
      <c r="A151" s="1" t="s">
        <v>142</v>
      </c>
      <c r="B151" s="1" t="s">
        <v>34</v>
      </c>
      <c r="C151" s="2" t="s">
        <v>38</v>
      </c>
      <c r="D151" s="34" t="s">
        <v>15</v>
      </c>
      <c r="E151" s="3">
        <v>730</v>
      </c>
      <c r="F151" s="4">
        <v>3653</v>
      </c>
      <c r="G151" s="3">
        <v>183</v>
      </c>
      <c r="H151" s="5" t="s">
        <v>35</v>
      </c>
      <c r="I151" s="6">
        <v>1.7000000000000001E-2</v>
      </c>
    </row>
    <row r="152" spans="1:9" ht="23.1" customHeight="1" x14ac:dyDescent="0.25">
      <c r="A152" s="1" t="s">
        <v>142</v>
      </c>
      <c r="B152" s="1" t="s">
        <v>38</v>
      </c>
      <c r="C152" s="2" t="s">
        <v>144</v>
      </c>
      <c r="D152" s="34" t="s">
        <v>15</v>
      </c>
      <c r="E152" s="3">
        <v>730</v>
      </c>
      <c r="F152" s="4">
        <v>4251</v>
      </c>
      <c r="G152" s="3">
        <v>231</v>
      </c>
      <c r="H152" s="5" t="s">
        <v>35</v>
      </c>
      <c r="I152" s="6">
        <v>0.08</v>
      </c>
    </row>
    <row r="153" spans="1:9" ht="21.9" customHeight="1" x14ac:dyDescent="0.25">
      <c r="A153" s="1" t="s">
        <v>142</v>
      </c>
      <c r="B153" s="1" t="s">
        <v>144</v>
      </c>
      <c r="C153" s="2" t="s">
        <v>145</v>
      </c>
      <c r="D153" s="33" t="s">
        <v>11</v>
      </c>
      <c r="E153" s="3">
        <v>1900</v>
      </c>
      <c r="F153" s="4">
        <v>4251</v>
      </c>
      <c r="G153" s="3">
        <v>231</v>
      </c>
      <c r="H153" s="5" t="s">
        <v>4</v>
      </c>
      <c r="I153" s="6">
        <v>0.08</v>
      </c>
    </row>
    <row r="154" spans="1:9" ht="21.9" customHeight="1" x14ac:dyDescent="0.25">
      <c r="A154" s="1" t="s">
        <v>142</v>
      </c>
      <c r="B154" s="1" t="s">
        <v>146</v>
      </c>
      <c r="C154" s="2" t="s">
        <v>105</v>
      </c>
      <c r="D154" s="33" t="s">
        <v>3</v>
      </c>
      <c r="E154" s="3">
        <v>1945</v>
      </c>
      <c r="F154" s="4">
        <v>14335</v>
      </c>
      <c r="G154" s="3">
        <v>889</v>
      </c>
      <c r="H154" s="5" t="s">
        <v>4</v>
      </c>
      <c r="I154" s="6">
        <v>1.7000000000000001E-2</v>
      </c>
    </row>
    <row r="155" spans="1:9" ht="23.1" customHeight="1" x14ac:dyDescent="0.25">
      <c r="A155" s="1" t="s">
        <v>142</v>
      </c>
      <c r="B155" s="1" t="s">
        <v>105</v>
      </c>
      <c r="C155" s="2" t="s">
        <v>147</v>
      </c>
      <c r="D155" s="33" t="s">
        <v>11</v>
      </c>
      <c r="E155" s="3">
        <v>1900</v>
      </c>
      <c r="F155" s="4">
        <v>19442</v>
      </c>
      <c r="G155" s="3">
        <v>930</v>
      </c>
      <c r="H155" s="5" t="s">
        <v>4</v>
      </c>
      <c r="I155" s="6">
        <v>5.0000000000000001E-3</v>
      </c>
    </row>
    <row r="156" spans="1:9" ht="21.9" customHeight="1" x14ac:dyDescent="0.25">
      <c r="A156" s="1" t="s">
        <v>142</v>
      </c>
      <c r="B156" s="1" t="s">
        <v>147</v>
      </c>
      <c r="C156" s="2" t="s">
        <v>27</v>
      </c>
      <c r="D156" s="33" t="s">
        <v>11</v>
      </c>
      <c r="E156" s="3">
        <v>2815</v>
      </c>
      <c r="F156" s="4">
        <v>50473</v>
      </c>
      <c r="G156" s="4">
        <v>2651</v>
      </c>
      <c r="H156" s="5" t="s">
        <v>16</v>
      </c>
      <c r="I156" s="6">
        <v>3.5999999999999997E-2</v>
      </c>
    </row>
    <row r="157" spans="1:9" ht="23.1" customHeight="1" x14ac:dyDescent="0.25">
      <c r="A157" s="1" t="s">
        <v>142</v>
      </c>
      <c r="B157" s="1" t="s">
        <v>27</v>
      </c>
      <c r="C157" s="2" t="s">
        <v>18</v>
      </c>
      <c r="D157" s="33" t="s">
        <v>11</v>
      </c>
      <c r="E157" s="3">
        <v>2815</v>
      </c>
      <c r="F157" s="4">
        <v>41471</v>
      </c>
      <c r="G157" s="4">
        <v>2117</v>
      </c>
      <c r="H157" s="5" t="s">
        <v>4</v>
      </c>
      <c r="I157" s="6">
        <v>4.7E-2</v>
      </c>
    </row>
    <row r="158" spans="1:9" ht="21.9" customHeight="1" x14ac:dyDescent="0.25">
      <c r="A158" s="1" t="s">
        <v>142</v>
      </c>
      <c r="B158" s="1" t="s">
        <v>18</v>
      </c>
      <c r="C158" s="2" t="s">
        <v>21</v>
      </c>
      <c r="D158" s="33" t="s">
        <v>3</v>
      </c>
      <c r="E158" s="3">
        <v>2865</v>
      </c>
      <c r="F158" s="4">
        <v>37689</v>
      </c>
      <c r="G158" s="4">
        <v>1634</v>
      </c>
      <c r="H158" s="5" t="s">
        <v>4</v>
      </c>
      <c r="I158" s="6">
        <v>5.0999999999999997E-2</v>
      </c>
    </row>
    <row r="159" spans="1:9" ht="23.1" customHeight="1" x14ac:dyDescent="0.25">
      <c r="A159" s="1" t="s">
        <v>142</v>
      </c>
      <c r="B159" s="1" t="s">
        <v>21</v>
      </c>
      <c r="C159" s="2" t="s">
        <v>61</v>
      </c>
      <c r="D159" s="33" t="s">
        <v>11</v>
      </c>
      <c r="E159" s="3">
        <v>2815</v>
      </c>
      <c r="F159" s="4">
        <v>25896</v>
      </c>
      <c r="G159" s="4">
        <v>1071</v>
      </c>
      <c r="H159" s="5" t="s">
        <v>4</v>
      </c>
      <c r="I159" s="6">
        <v>5.1999999999999998E-2</v>
      </c>
    </row>
    <row r="160" spans="1:9" ht="21.9" customHeight="1" x14ac:dyDescent="0.25">
      <c r="A160" s="1" t="s">
        <v>142</v>
      </c>
      <c r="B160" s="1" t="s">
        <v>61</v>
      </c>
      <c r="C160" s="2" t="s">
        <v>1</v>
      </c>
      <c r="D160" s="33" t="s">
        <v>11</v>
      </c>
      <c r="E160" s="3">
        <v>2815</v>
      </c>
      <c r="F160" s="4">
        <v>27309</v>
      </c>
      <c r="G160" s="4">
        <v>1092</v>
      </c>
      <c r="H160" s="5" t="s">
        <v>4</v>
      </c>
      <c r="I160" s="6">
        <v>2.1000000000000001E-2</v>
      </c>
    </row>
    <row r="161" spans="1:10" ht="23.1" customHeight="1" x14ac:dyDescent="0.25">
      <c r="A161" s="1" t="s">
        <v>148</v>
      </c>
      <c r="B161" s="1" t="s">
        <v>61</v>
      </c>
      <c r="C161" s="2" t="s">
        <v>83</v>
      </c>
      <c r="D161" s="33" t="s">
        <v>11</v>
      </c>
      <c r="E161" s="3">
        <v>1900</v>
      </c>
      <c r="F161" s="4">
        <v>20956</v>
      </c>
      <c r="G161" s="4">
        <v>1111</v>
      </c>
      <c r="H161" s="5" t="s">
        <v>4</v>
      </c>
      <c r="I161" s="6">
        <v>1.9E-2</v>
      </c>
    </row>
    <row r="162" spans="1:10" ht="21.9" customHeight="1" x14ac:dyDescent="0.25">
      <c r="A162" s="1" t="s">
        <v>148</v>
      </c>
      <c r="B162" s="1" t="s">
        <v>83</v>
      </c>
      <c r="C162" s="2" t="s">
        <v>149</v>
      </c>
      <c r="D162" s="33" t="s">
        <v>3</v>
      </c>
      <c r="E162" s="3">
        <v>1945</v>
      </c>
      <c r="F162" s="4">
        <v>23666</v>
      </c>
      <c r="G162" s="4">
        <v>1135</v>
      </c>
      <c r="H162" s="5" t="s">
        <v>4</v>
      </c>
      <c r="I162" s="6">
        <v>7.0000000000000001E-3</v>
      </c>
    </row>
    <row r="163" spans="1:10" ht="21.9" customHeight="1" x14ac:dyDescent="0.25">
      <c r="A163" s="1" t="s">
        <v>148</v>
      </c>
      <c r="B163" s="1" t="s">
        <v>149</v>
      </c>
      <c r="C163" s="2" t="s">
        <v>150</v>
      </c>
      <c r="D163" s="33" t="s">
        <v>3</v>
      </c>
      <c r="E163" s="3">
        <v>1165</v>
      </c>
      <c r="F163" s="4">
        <v>14409</v>
      </c>
      <c r="G163" s="3">
        <v>676</v>
      </c>
      <c r="H163" s="5" t="s">
        <v>4</v>
      </c>
      <c r="I163" s="6">
        <v>1.4999999999999999E-2</v>
      </c>
    </row>
    <row r="164" spans="1:10" ht="23.1" customHeight="1" x14ac:dyDescent="0.25">
      <c r="A164" s="1" t="s">
        <v>148</v>
      </c>
      <c r="B164" s="1" t="s">
        <v>107</v>
      </c>
      <c r="C164" s="2" t="s">
        <v>44</v>
      </c>
      <c r="D164" s="33" t="s">
        <v>3</v>
      </c>
      <c r="E164" s="3">
        <v>1165</v>
      </c>
      <c r="F164" s="4">
        <v>8439</v>
      </c>
      <c r="G164" s="3">
        <v>410</v>
      </c>
      <c r="H164" s="5" t="s">
        <v>4</v>
      </c>
      <c r="I164" s="6">
        <v>5.0000000000000001E-3</v>
      </c>
    </row>
    <row r="165" spans="1:10" ht="21.9" customHeight="1" x14ac:dyDescent="0.25">
      <c r="A165" s="1" t="s">
        <v>148</v>
      </c>
      <c r="B165" s="1" t="s">
        <v>44</v>
      </c>
      <c r="C165" s="2" t="s">
        <v>36</v>
      </c>
      <c r="D165" s="33" t="s">
        <v>3</v>
      </c>
      <c r="E165" s="3">
        <v>1165</v>
      </c>
      <c r="F165" s="4">
        <v>14790</v>
      </c>
      <c r="G165" s="3">
        <v>880</v>
      </c>
      <c r="H165" s="5" t="s">
        <v>4</v>
      </c>
      <c r="I165" s="6">
        <v>5.0000000000000001E-3</v>
      </c>
    </row>
    <row r="166" spans="1:10" ht="23.1" customHeight="1" x14ac:dyDescent="0.25">
      <c r="A166" s="1" t="s">
        <v>83</v>
      </c>
      <c r="B166" s="1" t="s">
        <v>30</v>
      </c>
      <c r="C166" s="2" t="s">
        <v>21</v>
      </c>
      <c r="D166" s="33" t="s">
        <v>3</v>
      </c>
      <c r="E166" s="3">
        <v>1110</v>
      </c>
      <c r="F166" s="4">
        <v>3899</v>
      </c>
      <c r="G166" s="3">
        <v>194</v>
      </c>
      <c r="H166" s="5" t="s">
        <v>4</v>
      </c>
      <c r="I166" s="6">
        <v>4.2000000000000003E-2</v>
      </c>
    </row>
    <row r="167" spans="1:10" ht="21.9" customHeight="1" x14ac:dyDescent="0.25">
      <c r="A167" s="1" t="s">
        <v>83</v>
      </c>
      <c r="B167" s="1" t="s">
        <v>21</v>
      </c>
      <c r="C167" s="2" t="s">
        <v>109</v>
      </c>
      <c r="D167" s="33" t="s">
        <v>3</v>
      </c>
      <c r="E167" s="3">
        <v>1110</v>
      </c>
      <c r="F167" s="4">
        <v>7602</v>
      </c>
      <c r="G167" s="3">
        <v>379</v>
      </c>
      <c r="H167" s="5" t="s">
        <v>4</v>
      </c>
      <c r="I167" s="6">
        <v>5.0000000000000001E-3</v>
      </c>
    </row>
    <row r="168" spans="1:10" ht="21.6" customHeight="1" x14ac:dyDescent="0.25">
      <c r="A168" s="1" t="s">
        <v>91</v>
      </c>
      <c r="B168" s="1" t="s">
        <v>36</v>
      </c>
      <c r="C168" s="2" t="s">
        <v>1</v>
      </c>
      <c r="D168" s="33" t="s">
        <v>11</v>
      </c>
      <c r="E168" s="3">
        <v>1125</v>
      </c>
      <c r="F168" s="4">
        <v>11299</v>
      </c>
      <c r="G168" s="3">
        <v>550</v>
      </c>
      <c r="H168" s="5" t="s">
        <v>4</v>
      </c>
      <c r="I168" s="6">
        <v>5.0000000000000001E-3</v>
      </c>
      <c r="J168" s="20"/>
    </row>
    <row r="169" spans="1:10" ht="21.9" customHeight="1" x14ac:dyDescent="0.25">
      <c r="A169" s="1" t="s">
        <v>29</v>
      </c>
      <c r="B169" s="1" t="s">
        <v>27</v>
      </c>
      <c r="C169" s="2" t="s">
        <v>18</v>
      </c>
      <c r="D169" s="33" t="s">
        <v>11</v>
      </c>
      <c r="E169" s="3">
        <v>1125</v>
      </c>
      <c r="F169" s="4">
        <v>3669</v>
      </c>
      <c r="G169" s="3">
        <v>305</v>
      </c>
      <c r="H169" s="5" t="s">
        <v>4</v>
      </c>
      <c r="I169" s="6">
        <v>5.0000000000000001E-3</v>
      </c>
      <c r="J169" s="20"/>
    </row>
    <row r="170" spans="1:10" ht="23.1" customHeight="1" x14ac:dyDescent="0.25">
      <c r="A170" s="1" t="s">
        <v>29</v>
      </c>
      <c r="B170" s="1" t="s">
        <v>18</v>
      </c>
      <c r="C170" s="2" t="s">
        <v>119</v>
      </c>
      <c r="D170" s="33" t="s">
        <v>3</v>
      </c>
      <c r="E170" s="3">
        <v>1165</v>
      </c>
      <c r="F170" s="4">
        <v>8977</v>
      </c>
      <c r="G170" s="3">
        <v>488</v>
      </c>
      <c r="H170" s="5" t="s">
        <v>4</v>
      </c>
      <c r="I170" s="6">
        <v>5.0000000000000001E-3</v>
      </c>
      <c r="J170" s="20"/>
    </row>
    <row r="171" spans="1:10" ht="21.9" customHeight="1" x14ac:dyDescent="0.25">
      <c r="A171" s="1" t="s">
        <v>29</v>
      </c>
      <c r="B171" s="1" t="s">
        <v>119</v>
      </c>
      <c r="C171" s="2" t="s">
        <v>21</v>
      </c>
      <c r="D171" s="33" t="s">
        <v>3</v>
      </c>
      <c r="E171" s="3">
        <v>1945</v>
      </c>
      <c r="F171" s="4">
        <v>10277</v>
      </c>
      <c r="G171" s="3">
        <v>517</v>
      </c>
      <c r="H171" s="5" t="s">
        <v>4</v>
      </c>
      <c r="I171" s="6">
        <v>5.0000000000000001E-3</v>
      </c>
      <c r="J171" s="20"/>
    </row>
    <row r="172" spans="1:10" ht="23.1" customHeight="1" x14ac:dyDescent="0.25">
      <c r="A172" s="1" t="s">
        <v>29</v>
      </c>
      <c r="B172" s="1" t="s">
        <v>21</v>
      </c>
      <c r="C172" s="2" t="s">
        <v>61</v>
      </c>
      <c r="D172" s="33" t="s">
        <v>11</v>
      </c>
      <c r="E172" s="3">
        <v>1900</v>
      </c>
      <c r="F172" s="4">
        <v>10792</v>
      </c>
      <c r="G172" s="3">
        <v>522</v>
      </c>
      <c r="H172" s="5" t="s">
        <v>4</v>
      </c>
      <c r="I172" s="6">
        <v>5.0000000000000001E-3</v>
      </c>
      <c r="J172" s="20"/>
    </row>
    <row r="173" spans="1:10" ht="22.5" customHeight="1" x14ac:dyDescent="0.25">
      <c r="A173" s="1" t="s">
        <v>127</v>
      </c>
      <c r="B173" s="1" t="s">
        <v>1</v>
      </c>
      <c r="C173" s="2" t="s">
        <v>151</v>
      </c>
      <c r="D173" s="34" t="s">
        <v>31</v>
      </c>
      <c r="E173" s="3">
        <v>915</v>
      </c>
      <c r="F173" s="4">
        <v>10602</v>
      </c>
      <c r="G173" s="3">
        <v>525</v>
      </c>
      <c r="H173" s="5" t="s">
        <v>16</v>
      </c>
      <c r="I173" s="6">
        <v>5.0000000000000001E-3</v>
      </c>
      <c r="J173" s="20"/>
    </row>
    <row r="174" spans="1:10" ht="21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</row>
  </sheetData>
  <sheetProtection algorithmName="SHA-512" hashValue="XckRexGyMMg9Cw7jPcpdy+85PuDMzuK+nAqYWKgOwKL+/Isq5Wruc4xon1x7nNjMX2Jwq9RuNm2ApCxKlwsdBQ==" saltValue="4GrWf6zoWSL5/HjFW7bt9w==" spinCount="100000" sheet="1" objects="1" scenarios="1"/>
  <mergeCells count="1">
    <mergeCell ref="A174:J1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3ECF-C0B1-43D4-A28B-A94EB791B044}">
  <dimension ref="A1"/>
  <sheetViews>
    <sheetView workbookViewId="0"/>
  </sheetViews>
  <sheetFormatPr defaultRowHeight="13.2" x14ac:dyDescent="0.25"/>
  <sheetData/>
  <sheetProtection algorithmName="SHA-512" hashValue="hhkeUlwS2gBoRo1MMnVDJENBEaqTSViyelYd7yM1KyPv2qKSTlGEyBCrg7sSQm7cR4IGLQszETkA/meu/zqDtw==" saltValue="s5erf1Lw+VCF7y/mlW1NU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4279-9A1D-4CA4-92EA-A39CC8B80E6C}">
  <dimension ref="B5:AM250"/>
  <sheetViews>
    <sheetView tabSelected="1" topLeftCell="E1" zoomScale="120" zoomScaleNormal="120" workbookViewId="0">
      <selection activeCell="AK17" sqref="AK17"/>
    </sheetView>
  </sheetViews>
  <sheetFormatPr defaultColWidth="12.109375" defaultRowHeight="13.2" x14ac:dyDescent="0.25"/>
  <cols>
    <col min="2" max="2" width="22.77734375" customWidth="1"/>
    <col min="3" max="3" width="41.44140625" bestFit="1" customWidth="1"/>
    <col min="4" max="4" width="35.33203125" bestFit="1" customWidth="1"/>
    <col min="5" max="5" width="36" bestFit="1" customWidth="1"/>
    <col min="6" max="6" width="7" bestFit="1" customWidth="1"/>
    <col min="7" max="7" width="5.44140625" bestFit="1" customWidth="1"/>
    <col min="8" max="8" width="6.33203125" bestFit="1" customWidth="1"/>
    <col min="9" max="11" width="5.44140625" customWidth="1"/>
    <col min="12" max="12" width="6.77734375" bestFit="1" customWidth="1"/>
    <col min="13" max="13" width="8.33203125" bestFit="1" customWidth="1"/>
    <col min="14" max="14" width="5.77734375" bestFit="1" customWidth="1"/>
    <col min="15" max="15" width="12.33203125" bestFit="1" customWidth="1"/>
    <col min="16" max="16" width="7" bestFit="1" customWidth="1"/>
    <col min="17" max="17" width="5.77734375" bestFit="1" customWidth="1"/>
    <col min="18" max="18" width="9.77734375" bestFit="1" customWidth="1"/>
    <col min="19" max="19" width="5.109375" bestFit="1" customWidth="1"/>
    <col min="20" max="20" width="6.33203125" bestFit="1" customWidth="1"/>
    <col min="21" max="21" width="4.77734375" bestFit="1" customWidth="1"/>
    <col min="22" max="22" width="5.109375" bestFit="1" customWidth="1"/>
    <col min="23" max="23" width="6.33203125" bestFit="1" customWidth="1"/>
    <col min="24" max="24" width="6" bestFit="1" customWidth="1"/>
    <col min="25" max="25" width="5.109375" bestFit="1" customWidth="1"/>
    <col min="26" max="26" width="6.33203125" bestFit="1" customWidth="1"/>
    <col min="27" max="27" width="9" bestFit="1" customWidth="1"/>
    <col min="28" max="28" width="9.33203125" bestFit="1" customWidth="1"/>
    <col min="29" max="29" width="5.109375" bestFit="1" customWidth="1"/>
    <col min="30" max="30" width="6.33203125" bestFit="1" customWidth="1"/>
    <col min="31" max="31" width="9" bestFit="1" customWidth="1"/>
    <col min="32" max="32" width="9.33203125" bestFit="1" customWidth="1"/>
    <col min="33" max="33" width="5.109375" bestFit="1" customWidth="1"/>
    <col min="34" max="34" width="6.33203125" bestFit="1" customWidth="1"/>
    <col min="35" max="35" width="6.6640625" bestFit="1" customWidth="1"/>
    <col min="36" max="39" width="10.44140625" customWidth="1"/>
  </cols>
  <sheetData>
    <row r="5" spans="2:39" ht="13.8" x14ac:dyDescent="0.25"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6" spans="2:39" ht="13.8" x14ac:dyDescent="0.25">
      <c r="B6" s="22"/>
      <c r="C6" s="55" t="s">
        <v>156</v>
      </c>
      <c r="D6" s="56"/>
      <c r="E6" s="57"/>
      <c r="F6" s="22"/>
      <c r="G6" s="22"/>
      <c r="H6" s="22"/>
      <c r="I6" s="22"/>
      <c r="J6" s="22"/>
      <c r="K6" s="22"/>
      <c r="L6" s="23" t="s">
        <v>152</v>
      </c>
      <c r="M6" s="24"/>
      <c r="N6" s="24"/>
      <c r="O6" s="23" t="s">
        <v>153</v>
      </c>
      <c r="P6" s="24"/>
      <c r="Q6" s="24"/>
      <c r="R6" s="61" t="str">
        <f>$AB$6&amp;" Existing Conditions"</f>
        <v xml:space="preserve"> Existing Conditions</v>
      </c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3"/>
      <c r="AJ6" s="49" t="s">
        <v>154</v>
      </c>
      <c r="AK6" s="50"/>
      <c r="AL6" s="50"/>
      <c r="AM6" s="51"/>
    </row>
    <row r="7" spans="2:39" ht="14.4" x14ac:dyDescent="0.3">
      <c r="B7" s="25" t="s">
        <v>155</v>
      </c>
      <c r="C7" s="58"/>
      <c r="D7" s="59"/>
      <c r="E7" s="60"/>
      <c r="F7" s="25" t="s">
        <v>157</v>
      </c>
      <c r="G7" s="25" t="s">
        <v>158</v>
      </c>
      <c r="H7" s="25" t="s">
        <v>159</v>
      </c>
      <c r="I7" s="25" t="s">
        <v>193</v>
      </c>
      <c r="J7" s="25" t="s">
        <v>195</v>
      </c>
      <c r="K7" s="25" t="s">
        <v>197</v>
      </c>
      <c r="L7" s="26" t="s">
        <v>160</v>
      </c>
      <c r="M7" s="27" t="s">
        <v>161</v>
      </c>
      <c r="N7" s="28" t="s">
        <v>162</v>
      </c>
      <c r="O7" s="26" t="s">
        <v>160</v>
      </c>
      <c r="P7" s="27" t="s">
        <v>163</v>
      </c>
      <c r="Q7" s="28" t="s">
        <v>162</v>
      </c>
      <c r="R7" s="64" t="s">
        <v>160</v>
      </c>
      <c r="S7" s="64"/>
      <c r="T7" s="64"/>
      <c r="U7" s="65" t="s">
        <v>164</v>
      </c>
      <c r="V7" s="66"/>
      <c r="W7" s="67"/>
      <c r="X7" s="65" t="s">
        <v>165</v>
      </c>
      <c r="Y7" s="66"/>
      <c r="Z7" s="67"/>
      <c r="AA7" s="68" t="s">
        <v>166</v>
      </c>
      <c r="AB7" s="69"/>
      <c r="AC7" s="69"/>
      <c r="AD7" s="70"/>
      <c r="AE7" s="68" t="s">
        <v>167</v>
      </c>
      <c r="AF7" s="69"/>
      <c r="AG7" s="69"/>
      <c r="AH7" s="70"/>
      <c r="AI7" s="71" t="s">
        <v>168</v>
      </c>
      <c r="AJ7" s="52" t="s">
        <v>169</v>
      </c>
      <c r="AK7" s="53"/>
      <c r="AL7" s="53"/>
      <c r="AM7" s="54"/>
    </row>
    <row r="8" spans="2:39" ht="19.5" customHeight="1" x14ac:dyDescent="0.3">
      <c r="B8" s="25" t="s">
        <v>170</v>
      </c>
      <c r="C8" s="40" t="s">
        <v>171</v>
      </c>
      <c r="D8" s="40" t="s">
        <v>172</v>
      </c>
      <c r="E8" s="40" t="s">
        <v>173</v>
      </c>
      <c r="F8" s="25" t="s">
        <v>174</v>
      </c>
      <c r="G8" s="25" t="s">
        <v>174</v>
      </c>
      <c r="H8" s="25" t="s">
        <v>175</v>
      </c>
      <c r="I8" s="25" t="s">
        <v>194</v>
      </c>
      <c r="J8" s="25" t="s">
        <v>196</v>
      </c>
      <c r="K8" s="25" t="s">
        <v>194</v>
      </c>
      <c r="L8" s="26" t="s">
        <v>176</v>
      </c>
      <c r="M8" s="27" t="s">
        <v>176</v>
      </c>
      <c r="N8" s="28" t="s">
        <v>176</v>
      </c>
      <c r="O8" s="26" t="s">
        <v>176</v>
      </c>
      <c r="P8" s="27" t="s">
        <v>176</v>
      </c>
      <c r="Q8" s="28" t="s">
        <v>176</v>
      </c>
      <c r="R8" s="26" t="s">
        <v>177</v>
      </c>
      <c r="S8" s="26" t="s">
        <v>178</v>
      </c>
      <c r="T8" s="26" t="s">
        <v>159</v>
      </c>
      <c r="U8" s="27" t="s">
        <v>179</v>
      </c>
      <c r="V8" s="27" t="s">
        <v>178</v>
      </c>
      <c r="W8" s="27" t="s">
        <v>159</v>
      </c>
      <c r="X8" s="27" t="s">
        <v>179</v>
      </c>
      <c r="Y8" s="27" t="s">
        <v>178</v>
      </c>
      <c r="Z8" s="27" t="s">
        <v>159</v>
      </c>
      <c r="AA8" s="41" t="s">
        <v>180</v>
      </c>
      <c r="AB8" s="41" t="s">
        <v>181</v>
      </c>
      <c r="AC8" s="28" t="s">
        <v>178</v>
      </c>
      <c r="AD8" s="42" t="s">
        <v>159</v>
      </c>
      <c r="AE8" s="41" t="s">
        <v>180</v>
      </c>
      <c r="AF8" s="41" t="s">
        <v>181</v>
      </c>
      <c r="AG8" s="28" t="s">
        <v>178</v>
      </c>
      <c r="AH8" s="42" t="s">
        <v>159</v>
      </c>
      <c r="AI8" s="72"/>
      <c r="AJ8" s="43" t="s">
        <v>182</v>
      </c>
      <c r="AK8" s="43" t="s">
        <v>183</v>
      </c>
      <c r="AL8" s="43" t="s">
        <v>184</v>
      </c>
      <c r="AM8" s="43" t="s">
        <v>185</v>
      </c>
    </row>
    <row r="9" spans="2:39" ht="13.8" x14ac:dyDescent="0.25">
      <c r="B9" s="45" t="str">
        <f>LEFT(C9,4) &amp; "_" &amp; LEFT(D9,4) &amp; "_" &amp; LEFT(E9,4)</f>
        <v>Bake_SR-5_Gree</v>
      </c>
      <c r="C9" s="29" t="str">
        <f>'Table 1'!A2</f>
        <v>Baker Rd</v>
      </c>
      <c r="D9" s="29" t="str">
        <f>'Table 1'!B2</f>
        <v>SR-5</v>
      </c>
      <c r="E9" s="29" t="str">
        <f>'Table 1'!C2</f>
        <v>Green River Pkwy</v>
      </c>
      <c r="F9" s="44"/>
      <c r="G9" s="44"/>
      <c r="H9" s="44"/>
      <c r="I9" s="44"/>
      <c r="J9" s="44"/>
      <c r="K9" s="29" t="str">
        <f>'Table 1'!D2</f>
        <v>C3R</v>
      </c>
      <c r="L9" s="29"/>
      <c r="M9" s="44"/>
      <c r="N9" s="46">
        <f>'Table 1'!E2</f>
        <v>1165</v>
      </c>
      <c r="O9" s="44"/>
      <c r="P9" s="44"/>
      <c r="Q9" s="44"/>
      <c r="R9" s="29">
        <f>'Table 1'!F2</f>
        <v>5610</v>
      </c>
      <c r="S9" s="29"/>
      <c r="T9" s="29" t="str">
        <f>'Table 1'!H2</f>
        <v>C</v>
      </c>
      <c r="U9" s="29"/>
      <c r="V9" s="29"/>
      <c r="W9" s="29"/>
      <c r="X9" s="29"/>
      <c r="Y9" s="44"/>
      <c r="Z9" s="44"/>
      <c r="AA9" s="44"/>
      <c r="AB9" s="44"/>
      <c r="AC9" s="44"/>
      <c r="AD9" s="44"/>
      <c r="AE9" s="46">
        <f>'Table 1'!G2</f>
        <v>246</v>
      </c>
      <c r="AF9" s="44"/>
      <c r="AG9" s="44"/>
      <c r="AH9" s="44"/>
      <c r="AI9" s="47">
        <f>'Table 1'!I2*100</f>
        <v>1.2</v>
      </c>
      <c r="AJ9" s="44"/>
      <c r="AK9" s="44"/>
      <c r="AL9" s="44"/>
      <c r="AM9" s="44"/>
    </row>
    <row r="10" spans="2:39" ht="13.8" x14ac:dyDescent="0.25">
      <c r="B10" s="45" t="str">
        <f t="shared" ref="B10:B73" si="0">LEFT(C10,4) &amp; "_" &amp; LEFT(D10,4) &amp; "_" &amp; LEFT(E10,4)</f>
        <v>Berr_Gold_CR-7</v>
      </c>
      <c r="C10" s="29" t="str">
        <f>'Table 1'!A3</f>
        <v>Berry Ave</v>
      </c>
      <c r="D10" s="29" t="str">
        <f>'Table 1'!B3</f>
        <v>Golden Bear Wy</v>
      </c>
      <c r="E10" s="29" t="str">
        <f>'Table 1'!C3</f>
        <v>CR-714</v>
      </c>
      <c r="F10" s="44"/>
      <c r="G10" s="44"/>
      <c r="H10" s="44"/>
      <c r="I10" s="44"/>
      <c r="J10" s="44"/>
      <c r="K10" s="29" t="str">
        <f>'Table 1'!D3</f>
        <v>C3R</v>
      </c>
      <c r="L10" s="29"/>
      <c r="M10" s="44"/>
      <c r="N10" s="46">
        <f>'Table 1'!E3</f>
        <v>890</v>
      </c>
      <c r="O10" s="44"/>
      <c r="P10" s="44"/>
      <c r="Q10" s="44"/>
      <c r="R10" s="29">
        <f>'Table 1'!F3</f>
        <v>3620</v>
      </c>
      <c r="S10" s="44"/>
      <c r="T10" s="29" t="str">
        <f>'Table 1'!H3</f>
        <v>C</v>
      </c>
      <c r="U10" s="29"/>
      <c r="V10" s="29"/>
      <c r="W10" s="29"/>
      <c r="X10" s="29"/>
      <c r="Y10" s="44"/>
      <c r="Z10" s="44"/>
      <c r="AA10" s="44"/>
      <c r="AB10" s="44"/>
      <c r="AC10" s="44"/>
      <c r="AD10" s="44"/>
      <c r="AE10" s="46">
        <f>'Table 1'!G3</f>
        <v>193</v>
      </c>
      <c r="AF10" s="44"/>
      <c r="AG10" s="44"/>
      <c r="AH10" s="44"/>
      <c r="AI10" s="47">
        <f>'Table 1'!I3*100</f>
        <v>0.89999999999999991</v>
      </c>
      <c r="AJ10" s="44"/>
      <c r="AK10" s="44"/>
      <c r="AL10" s="44"/>
      <c r="AM10" s="44"/>
    </row>
    <row r="11" spans="2:39" ht="13.8" x14ac:dyDescent="0.25">
      <c r="B11" s="45" t="str">
        <f t="shared" si="0"/>
        <v>Berr_CR-7_Suns</v>
      </c>
      <c r="C11" s="29" t="str">
        <f>'Table 1'!A4</f>
        <v>Berry Ave</v>
      </c>
      <c r="D11" s="29" t="str">
        <f>'Table 1'!B4</f>
        <v>CR-714</v>
      </c>
      <c r="E11" s="29" t="str">
        <f>'Table 1'!C4</f>
        <v>Sunset Tr</v>
      </c>
      <c r="F11" s="44"/>
      <c r="G11" s="44"/>
      <c r="H11" s="44"/>
      <c r="I11" s="44"/>
      <c r="J11" s="44"/>
      <c r="K11" s="29" t="str">
        <f>'Table 1'!D4</f>
        <v>C3R</v>
      </c>
      <c r="L11" s="29"/>
      <c r="M11" s="44"/>
      <c r="N11" s="46">
        <f>'Table 1'!E4</f>
        <v>890</v>
      </c>
      <c r="O11" s="44"/>
      <c r="P11" s="44"/>
      <c r="Q11" s="44"/>
      <c r="R11" s="29">
        <f>'Table 1'!F4</f>
        <v>2149</v>
      </c>
      <c r="S11" s="44"/>
      <c r="T11" s="29" t="str">
        <f>'Table 1'!H4</f>
        <v>C</v>
      </c>
      <c r="U11" s="29"/>
      <c r="V11" s="29"/>
      <c r="W11" s="29"/>
      <c r="X11" s="29"/>
      <c r="Y11" s="44"/>
      <c r="Z11" s="44"/>
      <c r="AA11" s="44"/>
      <c r="AB11" s="44"/>
      <c r="AC11" s="44"/>
      <c r="AD11" s="44"/>
      <c r="AE11" s="46">
        <f>'Table 1'!G4</f>
        <v>104</v>
      </c>
      <c r="AF11" s="44"/>
      <c r="AG11" s="44"/>
      <c r="AH11" s="44"/>
      <c r="AI11" s="47">
        <f>'Table 1'!I4*100</f>
        <v>4.3999999999999995</v>
      </c>
      <c r="AJ11" s="44"/>
      <c r="AK11" s="44"/>
      <c r="AL11" s="44"/>
      <c r="AM11" s="44"/>
    </row>
    <row r="12" spans="2:39" ht="13.8" x14ac:dyDescent="0.25">
      <c r="B12" s="45" t="str">
        <f t="shared" si="0"/>
        <v>Brit_Pine_SR-5</v>
      </c>
      <c r="C12" s="29" t="str">
        <f>'Table 1'!A5</f>
        <v>Britt Rd</v>
      </c>
      <c r="D12" s="29" t="str">
        <f>'Table 1'!B5</f>
        <v>Pine Lake Dr</v>
      </c>
      <c r="E12" s="29" t="str">
        <f>'Table 1'!C5</f>
        <v>SR-5</v>
      </c>
      <c r="F12" s="44"/>
      <c r="G12" s="44"/>
      <c r="H12" s="44"/>
      <c r="I12" s="44"/>
      <c r="J12" s="44"/>
      <c r="K12" s="29" t="str">
        <f>'Table 1'!D5</f>
        <v>C3C</v>
      </c>
      <c r="L12" s="29"/>
      <c r="M12" s="44"/>
      <c r="N12" s="46">
        <f>'Table 1'!E5</f>
        <v>1125</v>
      </c>
      <c r="O12" s="44"/>
      <c r="P12" s="44"/>
      <c r="Q12" s="44"/>
      <c r="R12" s="29">
        <f>'Table 1'!F5</f>
        <v>4492</v>
      </c>
      <c r="S12" s="44"/>
      <c r="T12" s="29" t="str">
        <f>'Table 1'!H5</f>
        <v>C</v>
      </c>
      <c r="U12" s="29"/>
      <c r="V12" s="29"/>
      <c r="W12" s="29"/>
      <c r="X12" s="29"/>
      <c r="Y12" s="44"/>
      <c r="Z12" s="44"/>
      <c r="AA12" s="44"/>
      <c r="AB12" s="44"/>
      <c r="AC12" s="44"/>
      <c r="AD12" s="44"/>
      <c r="AE12" s="46">
        <f>'Table 1'!G5</f>
        <v>204</v>
      </c>
      <c r="AF12" s="44"/>
      <c r="AG12" s="44"/>
      <c r="AH12" s="44"/>
      <c r="AI12" s="47">
        <f>'Table 1'!I5*100</f>
        <v>0.5</v>
      </c>
      <c r="AJ12" s="44"/>
      <c r="AK12" s="44"/>
      <c r="AL12" s="44"/>
      <c r="AM12" s="44"/>
    </row>
    <row r="13" spans="2:39" ht="13.8" x14ac:dyDescent="0.25">
      <c r="B13" s="45" t="str">
        <f t="shared" si="0"/>
        <v>Newf_SR-7_Port</v>
      </c>
      <c r="C13" s="29" t="str">
        <f>'Table 1'!A6</f>
        <v>Newfield Pkwy</v>
      </c>
      <c r="D13" s="29" t="str">
        <f>'Table 1'!B6</f>
        <v>SR-714 (Martin Hwy)</v>
      </c>
      <c r="E13" s="29" t="str">
        <f>'Table 1'!C6</f>
        <v>Port St. Lucie Blvd.</v>
      </c>
      <c r="F13" s="44"/>
      <c r="G13" s="44"/>
      <c r="H13" s="44"/>
      <c r="I13" s="44"/>
      <c r="J13" s="44"/>
      <c r="K13" s="29" t="str">
        <f>'Table 1'!D6</f>
        <v>C2</v>
      </c>
      <c r="L13" s="29"/>
      <c r="M13" s="44"/>
      <c r="N13" s="46">
        <f>'Table 1'!E6</f>
        <v>730</v>
      </c>
      <c r="O13" s="44"/>
      <c r="P13" s="44"/>
      <c r="Q13" s="44"/>
      <c r="R13" s="29">
        <f>'Table 1'!F6</f>
        <v>5815</v>
      </c>
      <c r="S13" s="44"/>
      <c r="T13" s="29" t="str">
        <f>'Table 1'!H6</f>
        <v>D</v>
      </c>
      <c r="U13" s="29"/>
      <c r="V13" s="29"/>
      <c r="W13" s="29"/>
      <c r="X13" s="29"/>
      <c r="Y13" s="44"/>
      <c r="Z13" s="44"/>
      <c r="AA13" s="44"/>
      <c r="AB13" s="44"/>
      <c r="AC13" s="44"/>
      <c r="AD13" s="44"/>
      <c r="AE13" s="46">
        <f>'Table 1'!G6</f>
        <v>507</v>
      </c>
      <c r="AF13" s="44"/>
      <c r="AG13" s="44"/>
      <c r="AH13" s="44"/>
      <c r="AI13" s="47">
        <f>'Table 1'!I6*100</f>
        <v>1.9</v>
      </c>
      <c r="AJ13" s="44"/>
      <c r="AK13" s="44"/>
      <c r="AL13" s="44"/>
      <c r="AM13" s="44"/>
    </row>
    <row r="14" spans="2:39" ht="13.8" x14ac:dyDescent="0.25">
      <c r="B14" s="45" t="str">
        <f t="shared" si="0"/>
        <v>Comm_Sale_Monr</v>
      </c>
      <c r="C14" s="29" t="str">
        <f>'Table 1'!A7</f>
        <v>Commerce Ave</v>
      </c>
      <c r="D14" s="29" t="str">
        <f>'Table 1'!B7</f>
        <v>Salerno Rd</v>
      </c>
      <c r="E14" s="29" t="str">
        <f>'Table 1'!C7</f>
        <v>Monroe St</v>
      </c>
      <c r="F14" s="44"/>
      <c r="G14" s="44"/>
      <c r="H14" s="44"/>
      <c r="I14" s="44"/>
      <c r="J14" s="44"/>
      <c r="K14" s="29" t="str">
        <f>'Table 1'!D7</f>
        <v>C3C</v>
      </c>
      <c r="L14" s="29"/>
      <c r="M14" s="44"/>
      <c r="N14" s="46">
        <f>'Table 1'!E7</f>
        <v>855</v>
      </c>
      <c r="O14" s="44"/>
      <c r="P14" s="44"/>
      <c r="Q14" s="44"/>
      <c r="R14" s="29">
        <f>'Table 1'!F7</f>
        <v>6257</v>
      </c>
      <c r="S14" s="44"/>
      <c r="T14" s="29" t="str">
        <f>'Table 1'!H7</f>
        <v>TCEA</v>
      </c>
      <c r="U14" s="29"/>
      <c r="V14" s="29"/>
      <c r="W14" s="29"/>
      <c r="X14" s="29"/>
      <c r="Y14" s="44"/>
      <c r="Z14" s="44"/>
      <c r="AA14" s="44"/>
      <c r="AB14" s="44"/>
      <c r="AC14" s="44"/>
      <c r="AD14" s="44"/>
      <c r="AE14" s="46">
        <f>'Table 1'!G7</f>
        <v>297</v>
      </c>
      <c r="AF14" s="44"/>
      <c r="AG14" s="44"/>
      <c r="AH14" s="44"/>
      <c r="AI14" s="47">
        <f>'Table 1'!I7*100</f>
        <v>0.5</v>
      </c>
      <c r="AJ14" s="44"/>
      <c r="AK14" s="44"/>
      <c r="AL14" s="44"/>
      <c r="AM14" s="44"/>
    </row>
    <row r="15" spans="2:39" ht="13.8" x14ac:dyDescent="0.25">
      <c r="B15" s="45" t="str">
        <f t="shared" si="0"/>
        <v>Comm_Monr_Indi</v>
      </c>
      <c r="C15" s="29" t="str">
        <f>'Table 1'!A8</f>
        <v>Commerce Ave</v>
      </c>
      <c r="D15" s="29" t="str">
        <f>'Table 1'!B8</f>
        <v>Monroe St</v>
      </c>
      <c r="E15" s="29" t="str">
        <f>'Table 1'!C8</f>
        <v>Indian St</v>
      </c>
      <c r="F15" s="44"/>
      <c r="G15" s="44"/>
      <c r="H15" s="44"/>
      <c r="I15" s="44"/>
      <c r="J15" s="44"/>
      <c r="K15" s="29" t="str">
        <f>'Table 1'!D8</f>
        <v>C3C</v>
      </c>
      <c r="L15" s="29"/>
      <c r="M15" s="44"/>
      <c r="N15" s="46">
        <f>'Table 1'!E8</f>
        <v>855</v>
      </c>
      <c r="O15" s="44"/>
      <c r="P15" s="44"/>
      <c r="Q15" s="44"/>
      <c r="R15" s="29">
        <f>'Table 1'!F8</f>
        <v>6777</v>
      </c>
      <c r="S15" s="44"/>
      <c r="T15" s="29" t="str">
        <f>'Table 1'!H8</f>
        <v>C</v>
      </c>
      <c r="U15" s="29"/>
      <c r="V15" s="29"/>
      <c r="W15" s="29"/>
      <c r="X15" s="29"/>
      <c r="Y15" s="44"/>
      <c r="Z15" s="44"/>
      <c r="AA15" s="44"/>
      <c r="AB15" s="44"/>
      <c r="AC15" s="44"/>
      <c r="AD15" s="44"/>
      <c r="AE15" s="46">
        <f>'Table 1'!G8</f>
        <v>359</v>
      </c>
      <c r="AF15" s="44"/>
      <c r="AG15" s="44"/>
      <c r="AH15" s="44"/>
      <c r="AI15" s="47">
        <f>'Table 1'!I8*100</f>
        <v>0.5</v>
      </c>
      <c r="AJ15" s="44"/>
      <c r="AK15" s="44"/>
      <c r="AL15" s="44"/>
      <c r="AM15" s="44"/>
    </row>
    <row r="16" spans="2:39" ht="13.8" x14ac:dyDescent="0.25">
      <c r="B16" s="45" t="str">
        <f t="shared" si="0"/>
        <v>Coun_Palm_Isla</v>
      </c>
      <c r="C16" s="29" t="str">
        <f>'Table 1'!A9</f>
        <v>Country Club Dr</v>
      </c>
      <c r="D16" s="29" t="str">
        <f>'Table 1'!B9</f>
        <v>Palm Beach County</v>
      </c>
      <c r="E16" s="29" t="str">
        <f>'Table 1'!C9</f>
        <v>Island Way</v>
      </c>
      <c r="F16" s="44"/>
      <c r="G16" s="44"/>
      <c r="H16" s="44"/>
      <c r="I16" s="44"/>
      <c r="J16" s="44"/>
      <c r="K16" s="29" t="str">
        <f>'Table 1'!D9</f>
        <v>C3R</v>
      </c>
      <c r="L16" s="29"/>
      <c r="M16" s="44"/>
      <c r="N16" s="46">
        <f>'Table 1'!E9</f>
        <v>890</v>
      </c>
      <c r="O16" s="44"/>
      <c r="P16" s="44"/>
      <c r="Q16" s="44"/>
      <c r="R16" s="29">
        <f>'Table 1'!F9</f>
        <v>3016</v>
      </c>
      <c r="S16" s="44"/>
      <c r="T16" s="29" t="str">
        <f>'Table 1'!H9</f>
        <v>C</v>
      </c>
      <c r="U16" s="29"/>
      <c r="V16" s="29"/>
      <c r="W16" s="29"/>
      <c r="X16" s="29"/>
      <c r="Y16" s="44"/>
      <c r="Z16" s="44"/>
      <c r="AA16" s="44"/>
      <c r="AB16" s="44"/>
      <c r="AC16" s="44"/>
      <c r="AD16" s="44"/>
      <c r="AE16" s="46">
        <f>'Table 1'!G9</f>
        <v>131</v>
      </c>
      <c r="AF16" s="44"/>
      <c r="AG16" s="44"/>
      <c r="AH16" s="44"/>
      <c r="AI16" s="47">
        <f>'Table 1'!I9*100</f>
        <v>1.6</v>
      </c>
      <c r="AJ16" s="44"/>
      <c r="AK16" s="44"/>
      <c r="AL16" s="44"/>
      <c r="AM16" s="44"/>
    </row>
    <row r="17" spans="2:39" ht="13.8" x14ac:dyDescent="0.25">
      <c r="B17" s="45" t="str">
        <f t="shared" si="0"/>
        <v>Coun_Isla_Litt</v>
      </c>
      <c r="C17" s="29" t="str">
        <f>'Table 1'!A10</f>
        <v>Country Club Dr</v>
      </c>
      <c r="D17" s="29" t="str">
        <f>'Table 1'!B10</f>
        <v>Island Way</v>
      </c>
      <c r="E17" s="29" t="str">
        <f>'Table 1'!C10</f>
        <v>Little Club Dr</v>
      </c>
      <c r="F17" s="44"/>
      <c r="G17" s="44"/>
      <c r="H17" s="44"/>
      <c r="I17" s="44"/>
      <c r="J17" s="44"/>
      <c r="K17" s="29" t="str">
        <f>'Table 1'!D10</f>
        <v>C3R</v>
      </c>
      <c r="L17" s="29"/>
      <c r="M17" s="44"/>
      <c r="N17" s="46">
        <f>'Table 1'!E10</f>
        <v>890</v>
      </c>
      <c r="O17" s="44"/>
      <c r="P17" s="44"/>
      <c r="Q17" s="44"/>
      <c r="R17" s="29">
        <f>'Table 1'!F10</f>
        <v>3692</v>
      </c>
      <c r="S17" s="44"/>
      <c r="T17" s="29" t="str">
        <f>'Table 1'!H10</f>
        <v>C</v>
      </c>
      <c r="U17" s="29"/>
      <c r="V17" s="29"/>
      <c r="W17" s="29"/>
      <c r="X17" s="29"/>
      <c r="Y17" s="44"/>
      <c r="Z17" s="44"/>
      <c r="AA17" s="44"/>
      <c r="AB17" s="44"/>
      <c r="AC17" s="44"/>
      <c r="AD17" s="44"/>
      <c r="AE17" s="46">
        <f>'Table 1'!G10</f>
        <v>156</v>
      </c>
      <c r="AF17" s="44"/>
      <c r="AG17" s="44"/>
      <c r="AH17" s="44"/>
      <c r="AI17" s="47">
        <f>'Table 1'!I10*100</f>
        <v>1.3</v>
      </c>
      <c r="AJ17" s="44"/>
      <c r="AK17" s="44"/>
      <c r="AL17" s="44"/>
      <c r="AM17" s="44"/>
    </row>
    <row r="18" spans="2:39" ht="13.8" x14ac:dyDescent="0.25">
      <c r="B18" s="45" t="str">
        <f t="shared" si="0"/>
        <v>Coun_Litt_SR-5</v>
      </c>
      <c r="C18" s="29" t="str">
        <f>'Table 1'!A11</f>
        <v>County Line Rd</v>
      </c>
      <c r="D18" s="29" t="str">
        <f>'Table 1'!B11</f>
        <v>Little Club Dr</v>
      </c>
      <c r="E18" s="29" t="str">
        <f>'Table 1'!C11</f>
        <v>SR-5</v>
      </c>
      <c r="F18" s="44"/>
      <c r="G18" s="44"/>
      <c r="H18" s="44"/>
      <c r="I18" s="44"/>
      <c r="J18" s="44"/>
      <c r="K18" s="29" t="str">
        <f>'Table 1'!D11</f>
        <v>C3R</v>
      </c>
      <c r="L18" s="29"/>
      <c r="M18" s="44"/>
      <c r="N18" s="46">
        <f>'Table 1'!E11</f>
        <v>890</v>
      </c>
      <c r="O18" s="44"/>
      <c r="P18" s="44"/>
      <c r="Q18" s="44"/>
      <c r="R18" s="29">
        <f>'Table 1'!F11</f>
        <v>2525</v>
      </c>
      <c r="S18" s="44"/>
      <c r="T18" s="29" t="str">
        <f>'Table 1'!H11</f>
        <v>C</v>
      </c>
      <c r="U18" s="29"/>
      <c r="V18" s="29"/>
      <c r="W18" s="29"/>
      <c r="X18" s="29"/>
      <c r="Y18" s="44"/>
      <c r="Z18" s="44"/>
      <c r="AA18" s="44"/>
      <c r="AB18" s="44"/>
      <c r="AC18" s="44"/>
      <c r="AD18" s="44"/>
      <c r="AE18" s="46">
        <f>'Table 1'!G11</f>
        <v>127</v>
      </c>
      <c r="AF18" s="44"/>
      <c r="AG18" s="44"/>
      <c r="AH18" s="44"/>
      <c r="AI18" s="47">
        <f>'Table 1'!I11*100</f>
        <v>0.5</v>
      </c>
      <c r="AJ18" s="44"/>
      <c r="AK18" s="44"/>
      <c r="AL18" s="44"/>
      <c r="AM18" s="44"/>
    </row>
    <row r="19" spans="2:39" ht="13.8" x14ac:dyDescent="0.25">
      <c r="B19" s="45" t="str">
        <f t="shared" si="0"/>
        <v>Cove_SR-7_Will</v>
      </c>
      <c r="C19" s="29" t="str">
        <f>'Table 1'!A12</f>
        <v>Cove Rd</v>
      </c>
      <c r="D19" s="29" t="str">
        <f>'Table 1'!B12</f>
        <v>SR-76</v>
      </c>
      <c r="E19" s="29" t="str">
        <f>'Table 1'!C12</f>
        <v>Willoughby Blvd</v>
      </c>
      <c r="F19" s="44"/>
      <c r="G19" s="44"/>
      <c r="H19" s="44"/>
      <c r="I19" s="44"/>
      <c r="J19" s="44"/>
      <c r="K19" s="29" t="str">
        <f>'Table 1'!D12</f>
        <v>C3R</v>
      </c>
      <c r="L19" s="29"/>
      <c r="M19" s="44"/>
      <c r="N19" s="46">
        <f>'Table 1'!E12</f>
        <v>1165</v>
      </c>
      <c r="O19" s="44"/>
      <c r="P19" s="44"/>
      <c r="Q19" s="44"/>
      <c r="R19" s="29">
        <f>'Table 1'!F12</f>
        <v>14459</v>
      </c>
      <c r="S19" s="44"/>
      <c r="T19" s="29" t="str">
        <f>'Table 1'!H12</f>
        <v>C</v>
      </c>
      <c r="U19" s="29"/>
      <c r="V19" s="29"/>
      <c r="W19" s="29"/>
      <c r="X19" s="29"/>
      <c r="Y19" s="44"/>
      <c r="Z19" s="44"/>
      <c r="AA19" s="44"/>
      <c r="AB19" s="44"/>
      <c r="AC19" s="44"/>
      <c r="AD19" s="44"/>
      <c r="AE19" s="46">
        <f>'Table 1'!G12</f>
        <v>878</v>
      </c>
      <c r="AF19" s="44"/>
      <c r="AG19" s="44"/>
      <c r="AH19" s="44"/>
      <c r="AI19" s="47">
        <f>'Table 1'!I12*100</f>
        <v>1.0999999999999999</v>
      </c>
      <c r="AJ19" s="44"/>
      <c r="AK19" s="44"/>
      <c r="AL19" s="44"/>
      <c r="AM19" s="44"/>
    </row>
    <row r="20" spans="2:39" ht="13.8" x14ac:dyDescent="0.25">
      <c r="B20" s="45" t="str">
        <f t="shared" si="0"/>
        <v>Cove_Will_SR-5</v>
      </c>
      <c r="C20" s="29" t="str">
        <f>'Table 1'!A13</f>
        <v>Cove Rd</v>
      </c>
      <c r="D20" s="29" t="str">
        <f>'Table 1'!B13</f>
        <v>Willoughby Blvd</v>
      </c>
      <c r="E20" s="29" t="str">
        <f>'Table 1'!C13</f>
        <v>SR-5</v>
      </c>
      <c r="F20" s="44"/>
      <c r="G20" s="44"/>
      <c r="H20" s="44"/>
      <c r="I20" s="44"/>
      <c r="J20" s="44"/>
      <c r="K20" s="29" t="str">
        <f>'Table 1'!D13</f>
        <v>C3R</v>
      </c>
      <c r="L20" s="29"/>
      <c r="M20" s="44"/>
      <c r="N20" s="46">
        <f>'Table 1'!E13</f>
        <v>1165</v>
      </c>
      <c r="O20" s="44"/>
      <c r="P20" s="44"/>
      <c r="Q20" s="44"/>
      <c r="R20" s="29">
        <f>'Table 1'!F13</f>
        <v>16452</v>
      </c>
      <c r="S20" s="44"/>
      <c r="T20" s="29" t="str">
        <f>'Table 1'!H13</f>
        <v>C</v>
      </c>
      <c r="U20" s="29"/>
      <c r="V20" s="29"/>
      <c r="W20" s="29"/>
      <c r="X20" s="29"/>
      <c r="Y20" s="44"/>
      <c r="Z20" s="44"/>
      <c r="AA20" s="44"/>
      <c r="AB20" s="44"/>
      <c r="AC20" s="44"/>
      <c r="AD20" s="44"/>
      <c r="AE20" s="46">
        <f>'Table 1'!G13</f>
        <v>779</v>
      </c>
      <c r="AF20" s="44"/>
      <c r="AG20" s="44"/>
      <c r="AH20" s="44"/>
      <c r="AI20" s="47">
        <f>'Table 1'!I13*100</f>
        <v>1.6</v>
      </c>
      <c r="AJ20" s="44"/>
      <c r="AK20" s="44"/>
      <c r="AL20" s="44"/>
      <c r="AM20" s="44"/>
    </row>
    <row r="21" spans="2:39" ht="13.8" x14ac:dyDescent="0.25">
      <c r="B21" s="45" t="str">
        <f t="shared" si="0"/>
        <v>Cove_SR-5_CR-A</v>
      </c>
      <c r="C21" s="29" t="str">
        <f>'Table 1'!A14</f>
        <v>Cove Rd</v>
      </c>
      <c r="D21" s="29" t="str">
        <f>'Table 1'!B14</f>
        <v>SR-5</v>
      </c>
      <c r="E21" s="29" t="str">
        <f>'Table 1'!C14</f>
        <v>CR-A1A</v>
      </c>
      <c r="F21" s="44"/>
      <c r="G21" s="44"/>
      <c r="H21" s="44"/>
      <c r="I21" s="44"/>
      <c r="J21" s="44"/>
      <c r="K21" s="29" t="str">
        <f>'Table 1'!D14</f>
        <v>C4</v>
      </c>
      <c r="L21" s="29"/>
      <c r="M21" s="44"/>
      <c r="N21" s="46">
        <f>'Table 1'!E14</f>
        <v>870</v>
      </c>
      <c r="O21" s="44"/>
      <c r="P21" s="44"/>
      <c r="Q21" s="44"/>
      <c r="R21" s="29">
        <f>'Table 1'!F14</f>
        <v>13949</v>
      </c>
      <c r="S21" s="44"/>
      <c r="T21" s="29" t="str">
        <f>'Table 1'!H14</f>
        <v>TCEA</v>
      </c>
      <c r="U21" s="29"/>
      <c r="V21" s="29"/>
      <c r="W21" s="29"/>
      <c r="X21" s="29"/>
      <c r="Y21" s="44"/>
      <c r="Z21" s="44"/>
      <c r="AA21" s="44"/>
      <c r="AB21" s="44"/>
      <c r="AC21" s="44"/>
      <c r="AD21" s="44"/>
      <c r="AE21" s="46">
        <f>'Table 1'!G14</f>
        <v>495</v>
      </c>
      <c r="AF21" s="44"/>
      <c r="AG21" s="44"/>
      <c r="AH21" s="44"/>
      <c r="AI21" s="47">
        <f>'Table 1'!I14*100</f>
        <v>1.5</v>
      </c>
      <c r="AJ21" s="44"/>
      <c r="AK21" s="44"/>
      <c r="AL21" s="44"/>
      <c r="AM21" s="44"/>
    </row>
    <row r="22" spans="2:39" ht="13.8" x14ac:dyDescent="0.25">
      <c r="B22" s="45" t="str">
        <f t="shared" si="0"/>
        <v>Cove_CR-A_End</v>
      </c>
      <c r="C22" s="29" t="str">
        <f>'Table 1'!A15</f>
        <v>Cove Rd</v>
      </c>
      <c r="D22" s="29" t="str">
        <f>'Table 1'!B15</f>
        <v>CR-A1A</v>
      </c>
      <c r="E22" s="29" t="str">
        <f>'Table 1'!C15</f>
        <v>End</v>
      </c>
      <c r="F22" s="44"/>
      <c r="G22" s="44"/>
      <c r="H22" s="44"/>
      <c r="I22" s="44"/>
      <c r="J22" s="44"/>
      <c r="K22" s="29" t="str">
        <f>'Table 1'!D15</f>
        <v>C3R</v>
      </c>
      <c r="L22" s="29"/>
      <c r="M22" s="44"/>
      <c r="N22" s="46">
        <f>'Table 1'!E15</f>
        <v>890</v>
      </c>
      <c r="O22" s="44"/>
      <c r="P22" s="44"/>
      <c r="Q22" s="44"/>
      <c r="R22" s="29">
        <f>'Table 1'!F15</f>
        <v>5247</v>
      </c>
      <c r="S22" s="44"/>
      <c r="T22" s="29" t="str">
        <f>'Table 1'!H15</f>
        <v>TCEA</v>
      </c>
      <c r="U22" s="29"/>
      <c r="V22" s="29"/>
      <c r="W22" s="29"/>
      <c r="X22" s="29"/>
      <c r="Y22" s="44"/>
      <c r="Z22" s="44"/>
      <c r="AA22" s="44"/>
      <c r="AB22" s="44"/>
      <c r="AC22" s="44"/>
      <c r="AD22" s="44"/>
      <c r="AE22" s="46">
        <f>'Table 1'!G15</f>
        <v>312</v>
      </c>
      <c r="AF22" s="44"/>
      <c r="AG22" s="44"/>
      <c r="AH22" s="44"/>
      <c r="AI22" s="47">
        <f>'Table 1'!I15*100</f>
        <v>0.5</v>
      </c>
      <c r="AJ22" s="44"/>
      <c r="AK22" s="44"/>
      <c r="AL22" s="44"/>
      <c r="AM22" s="44"/>
    </row>
    <row r="23" spans="2:39" ht="13.8" x14ac:dyDescent="0.25">
      <c r="B23" s="45" t="str">
        <f t="shared" si="0"/>
        <v>CR-6_SR-7_CR-7</v>
      </c>
      <c r="C23" s="29" t="str">
        <f>'Table 1'!A16</f>
        <v>CR-609 (Allapattah Rd)</v>
      </c>
      <c r="D23" s="29" t="str">
        <f>'Table 1'!B16</f>
        <v>SR-710</v>
      </c>
      <c r="E23" s="29" t="str">
        <f>'Table 1'!C16</f>
        <v>CR-714</v>
      </c>
      <c r="F23" s="44"/>
      <c r="G23" s="44"/>
      <c r="H23" s="44"/>
      <c r="I23" s="44"/>
      <c r="J23" s="44"/>
      <c r="K23" s="29" t="str">
        <f>'Table 1'!D16</f>
        <v>C2</v>
      </c>
      <c r="L23" s="29"/>
      <c r="M23" s="44"/>
      <c r="N23" s="46">
        <f>'Table 1'!E16</f>
        <v>730</v>
      </c>
      <c r="O23" s="44"/>
      <c r="P23" s="44"/>
      <c r="Q23" s="44"/>
      <c r="R23" s="29">
        <f>'Table 1'!F16</f>
        <v>2436</v>
      </c>
      <c r="S23" s="44"/>
      <c r="T23" s="29" t="str">
        <f>'Table 1'!H16</f>
        <v>A/B</v>
      </c>
      <c r="U23" s="29"/>
      <c r="V23" s="29"/>
      <c r="W23" s="29"/>
      <c r="X23" s="29"/>
      <c r="Y23" s="44"/>
      <c r="Z23" s="44"/>
      <c r="AA23" s="44"/>
      <c r="AB23" s="44"/>
      <c r="AC23" s="44"/>
      <c r="AD23" s="44"/>
      <c r="AE23" s="46">
        <f>'Table 1'!G16</f>
        <v>117</v>
      </c>
      <c r="AF23" s="44"/>
      <c r="AG23" s="44"/>
      <c r="AH23" s="44"/>
      <c r="AI23" s="47">
        <f>'Table 1'!I16*100</f>
        <v>6.5</v>
      </c>
      <c r="AJ23" s="44"/>
      <c r="AK23" s="44"/>
      <c r="AL23" s="44"/>
      <c r="AM23" s="44"/>
    </row>
    <row r="24" spans="2:39" ht="13.8" x14ac:dyDescent="0.25">
      <c r="B24" s="45" t="str">
        <f t="shared" si="0"/>
        <v>CR-6_CR-7_St L</v>
      </c>
      <c r="C24" s="29" t="str">
        <f>'Table 1'!A17</f>
        <v>CR-609 (Allapattah Rd)</v>
      </c>
      <c r="D24" s="29" t="str">
        <f>'Table 1'!B17</f>
        <v>CR-714</v>
      </c>
      <c r="E24" s="29" t="str">
        <f>'Table 1'!C17</f>
        <v>St Lucie County</v>
      </c>
      <c r="F24" s="44"/>
      <c r="G24" s="44"/>
      <c r="H24" s="44"/>
      <c r="I24" s="44"/>
      <c r="J24" s="44"/>
      <c r="K24" s="29" t="str">
        <f>'Table 1'!D17</f>
        <v>C2</v>
      </c>
      <c r="L24" s="29"/>
      <c r="M24" s="44"/>
      <c r="N24" s="46">
        <f>'Table 1'!E17</f>
        <v>730</v>
      </c>
      <c r="O24" s="44"/>
      <c r="P24" s="44"/>
      <c r="Q24" s="44"/>
      <c r="R24" s="29">
        <f>'Table 1'!F17</f>
        <v>2174</v>
      </c>
      <c r="S24" s="44"/>
      <c r="T24" s="29" t="str">
        <f>'Table 1'!H17</f>
        <v>A/B</v>
      </c>
      <c r="U24" s="29"/>
      <c r="V24" s="29"/>
      <c r="W24" s="29"/>
      <c r="X24" s="29"/>
      <c r="Y24" s="44"/>
      <c r="Z24" s="44"/>
      <c r="AA24" s="44"/>
      <c r="AB24" s="44"/>
      <c r="AC24" s="44"/>
      <c r="AD24" s="44"/>
      <c r="AE24" s="46">
        <f>'Table 1'!G17</f>
        <v>126</v>
      </c>
      <c r="AF24" s="44"/>
      <c r="AG24" s="44"/>
      <c r="AH24" s="44"/>
      <c r="AI24" s="47">
        <f>'Table 1'!I17*100</f>
        <v>5</v>
      </c>
      <c r="AJ24" s="44"/>
      <c r="AK24" s="44"/>
      <c r="AL24" s="44"/>
      <c r="AM24" s="44"/>
    </row>
    <row r="25" spans="2:39" ht="13.8" x14ac:dyDescent="0.25">
      <c r="B25" s="45" t="str">
        <f t="shared" si="0"/>
        <v>CR-7_Palm_CR-7</v>
      </c>
      <c r="C25" s="29" t="str">
        <f>'Table 1'!A18</f>
        <v>CR-707 (Beach Rd)</v>
      </c>
      <c r="D25" s="29" t="str">
        <f>'Table 1'!B18</f>
        <v>Palm Beach County</v>
      </c>
      <c r="E25" s="29" t="str">
        <f>'Table 1'!C18</f>
        <v>CR-708</v>
      </c>
      <c r="F25" s="44"/>
      <c r="G25" s="44"/>
      <c r="H25" s="44"/>
      <c r="I25" s="44"/>
      <c r="J25" s="44"/>
      <c r="K25" s="29" t="str">
        <f>'Table 1'!D18</f>
        <v>C3R</v>
      </c>
      <c r="L25" s="29"/>
      <c r="M25" s="44"/>
      <c r="N25" s="46">
        <f>'Table 1'!E18</f>
        <v>890</v>
      </c>
      <c r="O25" s="44"/>
      <c r="P25" s="44"/>
      <c r="Q25" s="44"/>
      <c r="R25" s="29">
        <f>'Table 1'!F18</f>
        <v>1669</v>
      </c>
      <c r="S25" s="44"/>
      <c r="T25" s="29" t="str">
        <f>'Table 1'!H18</f>
        <v>C</v>
      </c>
      <c r="U25" s="29"/>
      <c r="V25" s="29"/>
      <c r="W25" s="29"/>
      <c r="X25" s="29"/>
      <c r="Y25" s="44"/>
      <c r="Z25" s="44"/>
      <c r="AA25" s="44"/>
      <c r="AB25" s="44"/>
      <c r="AC25" s="44"/>
      <c r="AD25" s="44"/>
      <c r="AE25" s="46">
        <f>'Table 1'!G18</f>
        <v>86</v>
      </c>
      <c r="AF25" s="44"/>
      <c r="AG25" s="44"/>
      <c r="AH25" s="44"/>
      <c r="AI25" s="47">
        <f>'Table 1'!I18*100</f>
        <v>0.5</v>
      </c>
      <c r="AJ25" s="44"/>
      <c r="AK25" s="44"/>
      <c r="AL25" s="44"/>
      <c r="AM25" s="44"/>
    </row>
    <row r="26" spans="2:39" ht="13.8" x14ac:dyDescent="0.25">
      <c r="B26" s="45" t="str">
        <f t="shared" si="0"/>
        <v>CR-7_CR-7_CR-7</v>
      </c>
      <c r="C26" s="29" t="str">
        <f>'Table 1'!A19</f>
        <v>CR-707 (Dixie Hwy)</v>
      </c>
      <c r="D26" s="29" t="str">
        <f>'Table 1'!B19</f>
        <v>CR-723/CR-707</v>
      </c>
      <c r="E26" s="29" t="str">
        <f>'Table 1'!C19</f>
        <v>CR-707 (Indian River Dr)</v>
      </c>
      <c r="F26" s="44"/>
      <c r="G26" s="44"/>
      <c r="H26" s="44"/>
      <c r="I26" s="44"/>
      <c r="J26" s="44"/>
      <c r="K26" s="29" t="str">
        <f>'Table 1'!D19</f>
        <v>C3R</v>
      </c>
      <c r="L26" s="29"/>
      <c r="M26" s="44"/>
      <c r="N26" s="46">
        <f>'Table 1'!E19</f>
        <v>890</v>
      </c>
      <c r="O26" s="44"/>
      <c r="P26" s="44"/>
      <c r="Q26" s="44"/>
      <c r="R26" s="29">
        <f>'Table 1'!F19</f>
        <v>5353</v>
      </c>
      <c r="S26" s="44"/>
      <c r="T26" s="29" t="str">
        <f>'Table 1'!H19</f>
        <v>TCEA</v>
      </c>
      <c r="U26" s="29"/>
      <c r="V26" s="29"/>
      <c r="W26" s="29"/>
      <c r="X26" s="29"/>
      <c r="Y26" s="44"/>
      <c r="Z26" s="44"/>
      <c r="AA26" s="44"/>
      <c r="AB26" s="44"/>
      <c r="AC26" s="44"/>
      <c r="AD26" s="44"/>
      <c r="AE26" s="46">
        <f>'Table 1'!G19</f>
        <v>231</v>
      </c>
      <c r="AF26" s="44"/>
      <c r="AG26" s="44"/>
      <c r="AH26" s="44"/>
      <c r="AI26" s="47">
        <f>'Table 1'!I19*100</f>
        <v>0.5</v>
      </c>
      <c r="AJ26" s="44"/>
      <c r="AK26" s="44"/>
      <c r="AL26" s="44"/>
      <c r="AM26" s="44"/>
    </row>
    <row r="27" spans="2:39" ht="13.8" x14ac:dyDescent="0.25">
      <c r="B27" s="45" t="str">
        <f t="shared" si="0"/>
        <v>CR-7_CR-7_CR-7</v>
      </c>
      <c r="C27" s="29" t="str">
        <f>'Table 1'!A20</f>
        <v>CR-707 (Indian River Dr)</v>
      </c>
      <c r="D27" s="29" t="str">
        <f>'Table 1'!B20</f>
        <v>CR-707 (Dixie Hwy)</v>
      </c>
      <c r="E27" s="29" t="str">
        <f>'Table 1'!C20</f>
        <v>CR-707A (Jensen Beach Blvd.)</v>
      </c>
      <c r="F27" s="44"/>
      <c r="G27" s="44"/>
      <c r="H27" s="44"/>
      <c r="I27" s="44"/>
      <c r="J27" s="44"/>
      <c r="K27" s="29" t="str">
        <f>'Table 1'!D20</f>
        <v>C3R</v>
      </c>
      <c r="L27" s="29"/>
      <c r="M27" s="44"/>
      <c r="N27" s="46">
        <f>'Table 1'!E20</f>
        <v>890</v>
      </c>
      <c r="O27" s="44"/>
      <c r="P27" s="44"/>
      <c r="Q27" s="44"/>
      <c r="R27" s="29">
        <f>'Table 1'!F20</f>
        <v>11042</v>
      </c>
      <c r="S27" s="44"/>
      <c r="T27" s="29" t="str">
        <f>'Table 1'!H20</f>
        <v>C</v>
      </c>
      <c r="U27" s="29"/>
      <c r="V27" s="29"/>
      <c r="W27" s="29"/>
      <c r="X27" s="29"/>
      <c r="Y27" s="44"/>
      <c r="Z27" s="44"/>
      <c r="AA27" s="44"/>
      <c r="AB27" s="44"/>
      <c r="AC27" s="44"/>
      <c r="AD27" s="44"/>
      <c r="AE27" s="46">
        <f>'Table 1'!G20</f>
        <v>674</v>
      </c>
      <c r="AF27" s="44"/>
      <c r="AG27" s="44"/>
      <c r="AH27" s="44"/>
      <c r="AI27" s="47">
        <f>'Table 1'!I20*100</f>
        <v>1.2</v>
      </c>
      <c r="AJ27" s="44"/>
      <c r="AK27" s="44"/>
      <c r="AL27" s="44"/>
      <c r="AM27" s="44"/>
    </row>
    <row r="28" spans="2:39" ht="13.8" x14ac:dyDescent="0.25">
      <c r="B28" s="45" t="str">
        <f t="shared" si="0"/>
        <v>CR-7_CR-7_SR-7</v>
      </c>
      <c r="C28" s="29" t="str">
        <f>'Table 1'!A21</f>
        <v>CR-707 (Indian River Dr)</v>
      </c>
      <c r="D28" s="29" t="str">
        <f>'Table 1'!B21</f>
        <v>CR-707A</v>
      </c>
      <c r="E28" s="29" t="str">
        <f>'Table 1'!C21</f>
        <v>SR-732</v>
      </c>
      <c r="F28" s="44"/>
      <c r="G28" s="44"/>
      <c r="H28" s="44"/>
      <c r="I28" s="44"/>
      <c r="J28" s="44"/>
      <c r="K28" s="29" t="str">
        <f>'Table 1'!D21</f>
        <v>C4</v>
      </c>
      <c r="L28" s="29"/>
      <c r="M28" s="44"/>
      <c r="N28" s="46">
        <f>'Table 1'!E21</f>
        <v>695</v>
      </c>
      <c r="O28" s="44"/>
      <c r="P28" s="44"/>
      <c r="Q28" s="44"/>
      <c r="R28" s="29">
        <f>'Table 1'!F21</f>
        <v>5911</v>
      </c>
      <c r="S28" s="44"/>
      <c r="T28" s="29" t="str">
        <f>'Table 1'!H21</f>
        <v>TCEA</v>
      </c>
      <c r="U28" s="29"/>
      <c r="V28" s="29"/>
      <c r="W28" s="29"/>
      <c r="X28" s="29"/>
      <c r="Y28" s="44"/>
      <c r="Z28" s="44"/>
      <c r="AA28" s="44"/>
      <c r="AB28" s="44"/>
      <c r="AC28" s="44"/>
      <c r="AD28" s="44"/>
      <c r="AE28" s="46">
        <f>'Table 1'!G21</f>
        <v>317</v>
      </c>
      <c r="AF28" s="44"/>
      <c r="AG28" s="44"/>
      <c r="AH28" s="44"/>
      <c r="AI28" s="47">
        <f>'Table 1'!I21*100</f>
        <v>0.5</v>
      </c>
      <c r="AJ28" s="44"/>
      <c r="AK28" s="44"/>
      <c r="AL28" s="44"/>
      <c r="AM28" s="44"/>
    </row>
    <row r="29" spans="2:39" ht="13.8" x14ac:dyDescent="0.25">
      <c r="B29" s="45" t="str">
        <f t="shared" si="0"/>
        <v xml:space="preserve">CR-7_SR-7_St. </v>
      </c>
      <c r="C29" s="29" t="str">
        <f>'Table 1'!A22</f>
        <v>CR-707 (Indian River Dr)</v>
      </c>
      <c r="D29" s="29" t="str">
        <f>'Table 1'!B22</f>
        <v>SR-732</v>
      </c>
      <c r="E29" s="29" t="str">
        <f>'Table 1'!C22</f>
        <v>St. Lucie County</v>
      </c>
      <c r="F29" s="44"/>
      <c r="G29" s="44"/>
      <c r="H29" s="44"/>
      <c r="I29" s="44"/>
      <c r="J29" s="44"/>
      <c r="K29" s="29" t="str">
        <f>'Table 1'!D22</f>
        <v>C3R</v>
      </c>
      <c r="L29" s="29"/>
      <c r="M29" s="44"/>
      <c r="N29" s="46">
        <f>'Table 1'!E22</f>
        <v>890</v>
      </c>
      <c r="O29" s="44"/>
      <c r="P29" s="44"/>
      <c r="Q29" s="44"/>
      <c r="R29" s="29">
        <f>'Table 1'!F22</f>
        <v>8265</v>
      </c>
      <c r="S29" s="44"/>
      <c r="T29" s="29" t="str">
        <f>'Table 1'!H22</f>
        <v>C</v>
      </c>
      <c r="U29" s="29"/>
      <c r="V29" s="29"/>
      <c r="W29" s="29"/>
      <c r="X29" s="29"/>
      <c r="Y29" s="44"/>
      <c r="Z29" s="44"/>
      <c r="AA29" s="44"/>
      <c r="AB29" s="44"/>
      <c r="AC29" s="44"/>
      <c r="AD29" s="44"/>
      <c r="AE29" s="46">
        <f>'Table 1'!G22</f>
        <v>555</v>
      </c>
      <c r="AF29" s="44"/>
      <c r="AG29" s="44"/>
      <c r="AH29" s="44"/>
      <c r="AI29" s="47">
        <f>'Table 1'!I22*100</f>
        <v>5.7</v>
      </c>
      <c r="AJ29" s="44"/>
      <c r="AK29" s="44"/>
      <c r="AL29" s="44"/>
      <c r="AM29" s="44"/>
    </row>
    <row r="30" spans="2:39" ht="13.8" x14ac:dyDescent="0.25">
      <c r="B30" s="45" t="str">
        <f t="shared" si="0"/>
        <v>CR-7_CR-7_Skyl</v>
      </c>
      <c r="C30" s="29" t="str">
        <f>'Table 1'!A23</f>
        <v>CR-707A (Jensen Beach Blvd)</v>
      </c>
      <c r="D30" s="29" t="str">
        <f>'Table 1'!B23</f>
        <v>CR-723</v>
      </c>
      <c r="E30" s="29" t="str">
        <f>'Table 1'!C23</f>
        <v>Skyline Dr</v>
      </c>
      <c r="F30" s="44"/>
      <c r="G30" s="44"/>
      <c r="H30" s="44"/>
      <c r="I30" s="44"/>
      <c r="J30" s="44"/>
      <c r="K30" s="29" t="str">
        <f>'Table 1'!D23</f>
        <v>C4</v>
      </c>
      <c r="L30" s="29"/>
      <c r="M30" s="44"/>
      <c r="N30" s="46">
        <f>'Table 1'!E23</f>
        <v>1790</v>
      </c>
      <c r="O30" s="44"/>
      <c r="P30" s="44"/>
      <c r="Q30" s="44"/>
      <c r="R30" s="29">
        <f>'Table 1'!F23</f>
        <v>21241</v>
      </c>
      <c r="S30" s="44"/>
      <c r="T30" s="29" t="str">
        <f>'Table 1'!H23</f>
        <v>C</v>
      </c>
      <c r="U30" s="29"/>
      <c r="V30" s="29"/>
      <c r="W30" s="29"/>
      <c r="X30" s="29"/>
      <c r="Y30" s="44"/>
      <c r="Z30" s="44"/>
      <c r="AA30" s="44"/>
      <c r="AB30" s="44"/>
      <c r="AC30" s="44"/>
      <c r="AD30" s="44"/>
      <c r="AE30" s="46">
        <f>'Table 1'!G23</f>
        <v>994</v>
      </c>
      <c r="AF30" s="44"/>
      <c r="AG30" s="44"/>
      <c r="AH30" s="44"/>
      <c r="AI30" s="47">
        <f>'Table 1'!I23*100</f>
        <v>0.5</v>
      </c>
      <c r="AJ30" s="44"/>
      <c r="AK30" s="44"/>
      <c r="AL30" s="44"/>
      <c r="AM30" s="44"/>
    </row>
    <row r="31" spans="2:39" ht="13.8" x14ac:dyDescent="0.25">
      <c r="B31" s="45" t="str">
        <f t="shared" si="0"/>
        <v>CR-7_Skyl_Pine</v>
      </c>
      <c r="C31" s="29" t="str">
        <f>'Table 1'!A24</f>
        <v>CR-707A (Jensen Beach Blvd)</v>
      </c>
      <c r="D31" s="29" t="str">
        <f>'Table 1'!B24</f>
        <v>Skyline Dr</v>
      </c>
      <c r="E31" s="29" t="str">
        <f>'Table 1'!C24</f>
        <v>Pineapple Way</v>
      </c>
      <c r="F31" s="44"/>
      <c r="G31" s="44"/>
      <c r="H31" s="44"/>
      <c r="I31" s="44"/>
      <c r="J31" s="44"/>
      <c r="K31" s="29" t="str">
        <f>'Table 1'!D24</f>
        <v>C4</v>
      </c>
      <c r="L31" s="29"/>
      <c r="M31" s="44"/>
      <c r="N31" s="46">
        <f>'Table 1'!E24</f>
        <v>1790</v>
      </c>
      <c r="O31" s="44"/>
      <c r="P31" s="44"/>
      <c r="Q31" s="44"/>
      <c r="R31" s="29">
        <f>'Table 1'!F24</f>
        <v>19136</v>
      </c>
      <c r="S31" s="44"/>
      <c r="T31" s="29" t="str">
        <f>'Table 1'!H24</f>
        <v>C</v>
      </c>
      <c r="U31" s="29"/>
      <c r="V31" s="29"/>
      <c r="W31" s="29"/>
      <c r="X31" s="29"/>
      <c r="Y31" s="44"/>
      <c r="Z31" s="44"/>
      <c r="AA31" s="44"/>
      <c r="AB31" s="44"/>
      <c r="AC31" s="44"/>
      <c r="AD31" s="44"/>
      <c r="AE31" s="46">
        <f>'Table 1'!G24</f>
        <v>869</v>
      </c>
      <c r="AF31" s="44"/>
      <c r="AG31" s="44"/>
      <c r="AH31" s="44"/>
      <c r="AI31" s="47">
        <f>'Table 1'!I24*100</f>
        <v>0.5</v>
      </c>
      <c r="AJ31" s="44"/>
      <c r="AK31" s="44"/>
      <c r="AL31" s="44"/>
      <c r="AM31" s="44"/>
    </row>
    <row r="32" spans="2:39" ht="13.8" x14ac:dyDescent="0.25">
      <c r="B32" s="45" t="str">
        <f t="shared" si="0"/>
        <v>CR-7_Pine_CR-7</v>
      </c>
      <c r="C32" s="29" t="str">
        <f>'Table 1'!A25</f>
        <v>CR-707A (Jensen Beach Blvd)</v>
      </c>
      <c r="D32" s="29" t="str">
        <f>'Table 1'!B25</f>
        <v>Pineapple Wy</v>
      </c>
      <c r="E32" s="29" t="str">
        <f>'Table 1'!C25</f>
        <v>CR-707</v>
      </c>
      <c r="F32" s="44"/>
      <c r="G32" s="44"/>
      <c r="H32" s="44"/>
      <c r="I32" s="44"/>
      <c r="J32" s="44"/>
      <c r="K32" s="29" t="str">
        <f>'Table 1'!D25</f>
        <v>C4</v>
      </c>
      <c r="L32" s="29"/>
      <c r="M32" s="44"/>
      <c r="N32" s="46">
        <f>'Table 1'!E25</f>
        <v>870</v>
      </c>
      <c r="O32" s="44"/>
      <c r="P32" s="44"/>
      <c r="Q32" s="44"/>
      <c r="R32" s="29">
        <f>'Table 1'!F25</f>
        <v>9681</v>
      </c>
      <c r="S32" s="44"/>
      <c r="T32" s="29" t="str">
        <f>'Table 1'!H25</f>
        <v>TCEA</v>
      </c>
      <c r="U32" s="29"/>
      <c r="V32" s="29"/>
      <c r="W32" s="29"/>
      <c r="X32" s="29"/>
      <c r="Y32" s="44"/>
      <c r="Z32" s="44"/>
      <c r="AA32" s="44"/>
      <c r="AB32" s="44"/>
      <c r="AC32" s="44"/>
      <c r="AD32" s="44"/>
      <c r="AE32" s="46">
        <f>'Table 1'!G25</f>
        <v>395</v>
      </c>
      <c r="AF32" s="44"/>
      <c r="AG32" s="44"/>
      <c r="AH32" s="44"/>
      <c r="AI32" s="47">
        <f>'Table 1'!I25*100</f>
        <v>2.1</v>
      </c>
      <c r="AJ32" s="44"/>
      <c r="AK32" s="44"/>
      <c r="AL32" s="44"/>
      <c r="AM32" s="44"/>
    </row>
    <row r="33" spans="2:39" ht="13.8" x14ac:dyDescent="0.25">
      <c r="B33" s="45" t="str">
        <f t="shared" si="0"/>
        <v>CR-7_SR-7_CR-7</v>
      </c>
      <c r="C33" s="29" t="str">
        <f>'Table 1'!A26</f>
        <v>CR-708 (Bridge Rd)</v>
      </c>
      <c r="D33" s="29" t="str">
        <f>'Table 1'!B26</f>
        <v>SR-76</v>
      </c>
      <c r="E33" s="29" t="str">
        <f>'Table 1'!C26</f>
        <v>CR-711</v>
      </c>
      <c r="F33" s="44"/>
      <c r="G33" s="44"/>
      <c r="H33" s="44"/>
      <c r="I33" s="44"/>
      <c r="J33" s="44"/>
      <c r="K33" s="29" t="str">
        <f>'Table 1'!D26</f>
        <v>C2</v>
      </c>
      <c r="L33" s="29"/>
      <c r="M33" s="44"/>
      <c r="N33" s="46">
        <f>'Table 1'!E26</f>
        <v>730</v>
      </c>
      <c r="O33" s="44"/>
      <c r="P33" s="44"/>
      <c r="Q33" s="44"/>
      <c r="R33" s="29">
        <f>'Table 1'!F26</f>
        <v>1212</v>
      </c>
      <c r="S33" s="44"/>
      <c r="T33" s="29" t="str">
        <f>'Table 1'!H26</f>
        <v>A/B</v>
      </c>
      <c r="U33" s="29"/>
      <c r="V33" s="29"/>
      <c r="W33" s="29"/>
      <c r="X33" s="29"/>
      <c r="Y33" s="44"/>
      <c r="Z33" s="44"/>
      <c r="AA33" s="44"/>
      <c r="AB33" s="44"/>
      <c r="AC33" s="44"/>
      <c r="AD33" s="44"/>
      <c r="AE33" s="46">
        <f>'Table 1'!G26</f>
        <v>69</v>
      </c>
      <c r="AF33" s="44"/>
      <c r="AG33" s="44"/>
      <c r="AH33" s="44"/>
      <c r="AI33" s="47">
        <f>'Table 1'!I26*100</f>
        <v>6.8000000000000007</v>
      </c>
      <c r="AJ33" s="44"/>
      <c r="AK33" s="44"/>
      <c r="AL33" s="44"/>
      <c r="AM33" s="44"/>
    </row>
    <row r="34" spans="2:39" ht="13.8" x14ac:dyDescent="0.25">
      <c r="B34" s="45" t="str">
        <f t="shared" si="0"/>
        <v>CR-7_CR-7_I-95</v>
      </c>
      <c r="C34" s="29" t="str">
        <f>'Table 1'!A27</f>
        <v>CR-708 (Bridge Rd)</v>
      </c>
      <c r="D34" s="29" t="str">
        <f>'Table 1'!B27</f>
        <v>CR-711</v>
      </c>
      <c r="E34" s="29" t="str">
        <f>'Table 1'!C27</f>
        <v>I-95</v>
      </c>
      <c r="F34" s="44"/>
      <c r="G34" s="44"/>
      <c r="H34" s="44"/>
      <c r="I34" s="44"/>
      <c r="J34" s="44"/>
      <c r="K34" s="29" t="str">
        <f>'Table 1'!D27</f>
        <v>C2</v>
      </c>
      <c r="L34" s="29"/>
      <c r="M34" s="44"/>
      <c r="N34" s="46">
        <f>'Table 1'!E27</f>
        <v>730</v>
      </c>
      <c r="O34" s="44"/>
      <c r="P34" s="44"/>
      <c r="Q34" s="44"/>
      <c r="R34" s="29">
        <f>'Table 1'!F27</f>
        <v>4606</v>
      </c>
      <c r="S34" s="44"/>
      <c r="T34" s="29" t="str">
        <f>'Table 1'!H27</f>
        <v>C</v>
      </c>
      <c r="U34" s="29"/>
      <c r="V34" s="29"/>
      <c r="W34" s="29"/>
      <c r="X34" s="29"/>
      <c r="Y34" s="44"/>
      <c r="Z34" s="44"/>
      <c r="AA34" s="44"/>
      <c r="AB34" s="44"/>
      <c r="AC34" s="44"/>
      <c r="AD34" s="44"/>
      <c r="AE34" s="46">
        <f>'Table 1'!G27</f>
        <v>279</v>
      </c>
      <c r="AF34" s="44"/>
      <c r="AG34" s="44"/>
      <c r="AH34" s="44"/>
      <c r="AI34" s="47">
        <f>'Table 1'!I27*100</f>
        <v>4.3</v>
      </c>
      <c r="AJ34" s="44"/>
      <c r="AK34" s="44"/>
      <c r="AL34" s="44"/>
      <c r="AM34" s="44"/>
    </row>
    <row r="35" spans="2:39" ht="13.8" x14ac:dyDescent="0.25">
      <c r="B35" s="45" t="str">
        <f t="shared" si="0"/>
        <v>CR-7_I-95_Powe</v>
      </c>
      <c r="C35" s="29" t="str">
        <f>'Table 1'!A28</f>
        <v>CR-708 (Bridge Rd)</v>
      </c>
      <c r="D35" s="29" t="str">
        <f>'Table 1'!B28</f>
        <v>I-95</v>
      </c>
      <c r="E35" s="29" t="str">
        <f>'Table 1'!C28</f>
        <v>Powerline Ave</v>
      </c>
      <c r="F35" s="44"/>
      <c r="G35" s="44"/>
      <c r="H35" s="44"/>
      <c r="I35" s="44"/>
      <c r="J35" s="44"/>
      <c r="K35" s="29" t="str">
        <f>'Table 1'!D28</f>
        <v>C2</v>
      </c>
      <c r="L35" s="29"/>
      <c r="M35" s="44"/>
      <c r="N35" s="46">
        <f>'Table 1'!E28</f>
        <v>730</v>
      </c>
      <c r="O35" s="44"/>
      <c r="P35" s="44"/>
      <c r="Q35" s="44"/>
      <c r="R35" s="29">
        <f>'Table 1'!F28</f>
        <v>10060</v>
      </c>
      <c r="S35" s="44"/>
      <c r="T35" s="29" t="str">
        <f>'Table 1'!H28</f>
        <v>D</v>
      </c>
      <c r="U35" s="29"/>
      <c r="V35" s="29"/>
      <c r="W35" s="29"/>
      <c r="X35" s="29"/>
      <c r="Y35" s="44"/>
      <c r="Z35" s="44"/>
      <c r="AA35" s="44"/>
      <c r="AB35" s="44"/>
      <c r="AC35" s="44"/>
      <c r="AD35" s="44"/>
      <c r="AE35" s="46">
        <f>'Table 1'!G28</f>
        <v>657</v>
      </c>
      <c r="AF35" s="44"/>
      <c r="AG35" s="44"/>
      <c r="AH35" s="44"/>
      <c r="AI35" s="47">
        <f>'Table 1'!I28*100</f>
        <v>2.2999999999999998</v>
      </c>
      <c r="AJ35" s="44"/>
      <c r="AK35" s="44"/>
      <c r="AL35" s="44"/>
      <c r="AM35" s="44"/>
    </row>
    <row r="36" spans="2:39" ht="13.8" x14ac:dyDescent="0.25">
      <c r="B36" s="45" t="str">
        <f t="shared" si="0"/>
        <v>CR-7_Powe_SR-5</v>
      </c>
      <c r="C36" s="29" t="str">
        <f>'Table 1'!A29</f>
        <v>CR-708 (Bridge Rd)</v>
      </c>
      <c r="D36" s="29" t="str">
        <f>'Table 1'!B29</f>
        <v>Powerline Ave</v>
      </c>
      <c r="E36" s="29" t="str">
        <f>'Table 1'!C29</f>
        <v>SR-5</v>
      </c>
      <c r="F36" s="44"/>
      <c r="G36" s="44"/>
      <c r="H36" s="44"/>
      <c r="I36" s="44"/>
      <c r="J36" s="44"/>
      <c r="K36" s="29" t="str">
        <f>'Table 1'!D29</f>
        <v>C3R</v>
      </c>
      <c r="L36" s="29"/>
      <c r="M36" s="44"/>
      <c r="N36" s="46">
        <f>'Table 1'!E29</f>
        <v>890</v>
      </c>
      <c r="O36" s="44"/>
      <c r="P36" s="44"/>
      <c r="Q36" s="44"/>
      <c r="R36" s="29">
        <f>'Table 1'!F29</f>
        <v>11249</v>
      </c>
      <c r="S36" s="44"/>
      <c r="T36" s="29" t="str">
        <f>'Table 1'!H29</f>
        <v>TCEA</v>
      </c>
      <c r="U36" s="29"/>
      <c r="V36" s="29"/>
      <c r="W36" s="29"/>
      <c r="X36" s="29"/>
      <c r="Y36" s="44"/>
      <c r="Z36" s="44"/>
      <c r="AA36" s="44"/>
      <c r="AB36" s="44"/>
      <c r="AC36" s="44"/>
      <c r="AD36" s="44"/>
      <c r="AE36" s="46">
        <f>'Table 1'!G29</f>
        <v>624</v>
      </c>
      <c r="AF36" s="44"/>
      <c r="AG36" s="44"/>
      <c r="AH36" s="44"/>
      <c r="AI36" s="47">
        <f>'Table 1'!I29*100</f>
        <v>1.6</v>
      </c>
      <c r="AJ36" s="44"/>
      <c r="AK36" s="44"/>
      <c r="AL36" s="44"/>
      <c r="AM36" s="44"/>
    </row>
    <row r="37" spans="2:39" ht="13.8" x14ac:dyDescent="0.25">
      <c r="B37" s="45" t="str">
        <f t="shared" si="0"/>
        <v>CR-7_SR-5_CR-A</v>
      </c>
      <c r="C37" s="29" t="str">
        <f>'Table 1'!A30</f>
        <v>CR-708 (Bridge Rd)</v>
      </c>
      <c r="D37" s="29" t="str">
        <f>'Table 1'!B30</f>
        <v>SR-5</v>
      </c>
      <c r="E37" s="29" t="str">
        <f>'Table 1'!C30</f>
        <v>CR-A1A</v>
      </c>
      <c r="F37" s="44"/>
      <c r="G37" s="44"/>
      <c r="H37" s="44"/>
      <c r="I37" s="44"/>
      <c r="J37" s="44"/>
      <c r="K37" s="29" t="str">
        <f>'Table 1'!D30</f>
        <v>C4</v>
      </c>
      <c r="L37" s="29"/>
      <c r="M37" s="44"/>
      <c r="N37" s="46">
        <f>'Table 1'!E30</f>
        <v>695</v>
      </c>
      <c r="O37" s="44"/>
      <c r="P37" s="44"/>
      <c r="Q37" s="44"/>
      <c r="R37" s="29">
        <f>'Table 1'!F30</f>
        <v>8379</v>
      </c>
      <c r="S37" s="44"/>
      <c r="T37" s="29" t="str">
        <f>'Table 1'!H30</f>
        <v>TCEA</v>
      </c>
      <c r="U37" s="29"/>
      <c r="V37" s="29"/>
      <c r="W37" s="29"/>
      <c r="X37" s="29"/>
      <c r="Y37" s="44"/>
      <c r="Z37" s="44"/>
      <c r="AA37" s="44"/>
      <c r="AB37" s="44"/>
      <c r="AC37" s="44"/>
      <c r="AD37" s="44"/>
      <c r="AE37" s="46">
        <f>'Table 1'!G30</f>
        <v>484</v>
      </c>
      <c r="AF37" s="44"/>
      <c r="AG37" s="44"/>
      <c r="AH37" s="44"/>
      <c r="AI37" s="47">
        <f>'Table 1'!I30*100</f>
        <v>0.5</v>
      </c>
      <c r="AJ37" s="44"/>
      <c r="AK37" s="44"/>
      <c r="AL37" s="44"/>
      <c r="AM37" s="44"/>
    </row>
    <row r="38" spans="2:39" ht="13.8" x14ac:dyDescent="0.25">
      <c r="B38" s="45" t="str">
        <f t="shared" si="0"/>
        <v>CR-7_CR-A_Gome</v>
      </c>
      <c r="C38" s="29" t="str">
        <f>'Table 1'!A31</f>
        <v>CR-708 (Bridge Rd)</v>
      </c>
      <c r="D38" s="29" t="str">
        <f>'Table 1'!B31</f>
        <v>CR-A1A</v>
      </c>
      <c r="E38" s="29" t="str">
        <f>'Table 1'!C31</f>
        <v>Gomez Ave</v>
      </c>
      <c r="F38" s="44"/>
      <c r="G38" s="44"/>
      <c r="H38" s="44"/>
      <c r="I38" s="44"/>
      <c r="J38" s="44"/>
      <c r="K38" s="29" t="str">
        <f>'Table 1'!D31</f>
        <v>C4</v>
      </c>
      <c r="L38" s="29"/>
      <c r="M38" s="44"/>
      <c r="N38" s="46">
        <f>'Table 1'!E31</f>
        <v>695</v>
      </c>
      <c r="O38" s="44"/>
      <c r="P38" s="44"/>
      <c r="Q38" s="44"/>
      <c r="R38" s="29">
        <f>'Table 1'!F31</f>
        <v>7845</v>
      </c>
      <c r="S38" s="44"/>
      <c r="T38" s="29" t="str">
        <f>'Table 1'!H31</f>
        <v>TCEA</v>
      </c>
      <c r="U38" s="29"/>
      <c r="V38" s="29"/>
      <c r="W38" s="29"/>
      <c r="X38" s="29"/>
      <c r="Y38" s="44"/>
      <c r="Z38" s="44"/>
      <c r="AA38" s="44"/>
      <c r="AB38" s="44"/>
      <c r="AC38" s="44"/>
      <c r="AD38" s="44"/>
      <c r="AE38" s="46">
        <f>'Table 1'!G31</f>
        <v>397</v>
      </c>
      <c r="AF38" s="44"/>
      <c r="AG38" s="44"/>
      <c r="AH38" s="44"/>
      <c r="AI38" s="47">
        <f>'Table 1'!I31*100</f>
        <v>0.5</v>
      </c>
      <c r="AJ38" s="44"/>
      <c r="AK38" s="44"/>
      <c r="AL38" s="44"/>
      <c r="AM38" s="44"/>
    </row>
    <row r="39" spans="2:39" ht="13.8" x14ac:dyDescent="0.25">
      <c r="B39" s="45" t="str">
        <f t="shared" si="0"/>
        <v>CR-7_Gome_CR-7</v>
      </c>
      <c r="C39" s="29" t="str">
        <f>'Table 1'!A32</f>
        <v>CR-708 (Bridge Rd)</v>
      </c>
      <c r="D39" s="29" t="str">
        <f>'Table 1'!B32</f>
        <v>Gomez Ave</v>
      </c>
      <c r="E39" s="29" t="str">
        <f>'Table 1'!C32</f>
        <v>CR-707</v>
      </c>
      <c r="F39" s="44"/>
      <c r="G39" s="44"/>
      <c r="H39" s="44"/>
      <c r="I39" s="44"/>
      <c r="J39" s="44"/>
      <c r="K39" s="29" t="str">
        <f>'Table 1'!D32</f>
        <v>C4</v>
      </c>
      <c r="L39" s="29"/>
      <c r="M39" s="44"/>
      <c r="N39" s="46">
        <f>'Table 1'!E32</f>
        <v>695</v>
      </c>
      <c r="O39" s="44"/>
      <c r="P39" s="44"/>
      <c r="Q39" s="44"/>
      <c r="R39" s="29">
        <f>'Table 1'!F32</f>
        <v>4572</v>
      </c>
      <c r="S39" s="44"/>
      <c r="T39" s="29" t="str">
        <f>'Table 1'!H32</f>
        <v>D</v>
      </c>
      <c r="U39" s="29"/>
      <c r="V39" s="29"/>
      <c r="W39" s="29"/>
      <c r="X39" s="29"/>
      <c r="Y39" s="44"/>
      <c r="Z39" s="44"/>
      <c r="AA39" s="44"/>
      <c r="AB39" s="44"/>
      <c r="AC39" s="44"/>
      <c r="AD39" s="44"/>
      <c r="AE39" s="46">
        <f>'Table 1'!G32</f>
        <v>259</v>
      </c>
      <c r="AF39" s="44"/>
      <c r="AG39" s="44"/>
      <c r="AH39" s="44"/>
      <c r="AI39" s="47">
        <f>'Table 1'!I32*100</f>
        <v>0.5</v>
      </c>
      <c r="AJ39" s="44"/>
      <c r="AK39" s="44"/>
      <c r="AL39" s="44"/>
      <c r="AM39" s="44"/>
    </row>
    <row r="40" spans="2:39" ht="13.8" x14ac:dyDescent="0.25">
      <c r="B40" s="45" t="str">
        <f t="shared" si="0"/>
        <v>CR-7_Palm_CR-7</v>
      </c>
      <c r="C40" s="29" t="str">
        <f>'Table 1'!A33</f>
        <v>CR-711 (Pratt Whitney Rd)</v>
      </c>
      <c r="D40" s="29" t="str">
        <f>'Table 1'!B33</f>
        <v>Palm Beach County</v>
      </c>
      <c r="E40" s="29" t="str">
        <f>'Table 1'!C33</f>
        <v>CR-708</v>
      </c>
      <c r="F40" s="44"/>
      <c r="G40" s="44"/>
      <c r="H40" s="44"/>
      <c r="I40" s="44"/>
      <c r="J40" s="44"/>
      <c r="K40" s="29" t="str">
        <f>'Table 1'!D33</f>
        <v>C2</v>
      </c>
      <c r="L40" s="29"/>
      <c r="M40" s="44"/>
      <c r="N40" s="46">
        <f>'Table 1'!E33</f>
        <v>730</v>
      </c>
      <c r="O40" s="44"/>
      <c r="P40" s="44"/>
      <c r="Q40" s="44"/>
      <c r="R40" s="29">
        <f>'Table 1'!F33</f>
        <v>4557</v>
      </c>
      <c r="S40" s="44"/>
      <c r="T40" s="29" t="str">
        <f>'Table 1'!H33</f>
        <v>D</v>
      </c>
      <c r="U40" s="29"/>
      <c r="V40" s="29"/>
      <c r="W40" s="29"/>
      <c r="X40" s="29"/>
      <c r="Y40" s="44"/>
      <c r="Z40" s="44"/>
      <c r="AA40" s="44"/>
      <c r="AB40" s="44"/>
      <c r="AC40" s="44"/>
      <c r="AD40" s="44"/>
      <c r="AE40" s="46">
        <f>'Table 1'!G33</f>
        <v>466</v>
      </c>
      <c r="AF40" s="44"/>
      <c r="AG40" s="44"/>
      <c r="AH40" s="44"/>
      <c r="AI40" s="47">
        <f>'Table 1'!I33*100</f>
        <v>8</v>
      </c>
      <c r="AJ40" s="44"/>
      <c r="AK40" s="44"/>
      <c r="AL40" s="44"/>
      <c r="AM40" s="44"/>
    </row>
    <row r="41" spans="2:39" ht="13.8" x14ac:dyDescent="0.25">
      <c r="B41" s="45" t="str">
        <f t="shared" si="0"/>
        <v>CR-7_CR-7_Mead</v>
      </c>
      <c r="C41" s="29" t="str">
        <f>'Table 1'!A34</f>
        <v>CR-711 (Pratt Whitney Rd)</v>
      </c>
      <c r="D41" s="29" t="str">
        <f>'Table 1'!B34</f>
        <v>CR-708</v>
      </c>
      <c r="E41" s="29" t="str">
        <f>'Table 1'!C34</f>
        <v>Meadowlark Cir</v>
      </c>
      <c r="F41" s="44"/>
      <c r="G41" s="44"/>
      <c r="H41" s="44"/>
      <c r="I41" s="44"/>
      <c r="J41" s="44"/>
      <c r="K41" s="29" t="str">
        <f>'Table 1'!D34</f>
        <v>C2</v>
      </c>
      <c r="L41" s="29"/>
      <c r="M41" s="44"/>
      <c r="N41" s="46">
        <f>'Table 1'!E34</f>
        <v>730</v>
      </c>
      <c r="O41" s="44"/>
      <c r="P41" s="44"/>
      <c r="Q41" s="44"/>
      <c r="R41" s="29">
        <f>'Table 1'!F34</f>
        <v>5438</v>
      </c>
      <c r="S41" s="44"/>
      <c r="T41" s="29" t="str">
        <f>'Table 1'!H34</f>
        <v>C</v>
      </c>
      <c r="U41" s="29"/>
      <c r="V41" s="29"/>
      <c r="W41" s="29"/>
      <c r="X41" s="29"/>
      <c r="Y41" s="44"/>
      <c r="Z41" s="44"/>
      <c r="AA41" s="44"/>
      <c r="AB41" s="44"/>
      <c r="AC41" s="44"/>
      <c r="AD41" s="44"/>
      <c r="AE41" s="46">
        <f>'Table 1'!G34</f>
        <v>302</v>
      </c>
      <c r="AF41" s="44"/>
      <c r="AG41" s="44"/>
      <c r="AH41" s="44"/>
      <c r="AI41" s="47">
        <f>'Table 1'!I34*100</f>
        <v>4.3999999999999995</v>
      </c>
      <c r="AJ41" s="44"/>
      <c r="AK41" s="44"/>
      <c r="AL41" s="44"/>
      <c r="AM41" s="44"/>
    </row>
    <row r="42" spans="2:39" ht="13.8" x14ac:dyDescent="0.25">
      <c r="B42" s="45" t="str">
        <f t="shared" si="0"/>
        <v>CR-7_Mead_SR-7</v>
      </c>
      <c r="C42" s="29" t="str">
        <f>'Table 1'!A35</f>
        <v>CR-711 (Pratt Whitney Rd)</v>
      </c>
      <c r="D42" s="29" t="str">
        <f>'Table 1'!B35</f>
        <v>Meadowlark Cir</v>
      </c>
      <c r="E42" s="29" t="str">
        <f>'Table 1'!C35</f>
        <v>SR-76</v>
      </c>
      <c r="F42" s="44"/>
      <c r="G42" s="44"/>
      <c r="H42" s="44"/>
      <c r="I42" s="44"/>
      <c r="J42" s="44"/>
      <c r="K42" s="29" t="str">
        <f>'Table 1'!D35</f>
        <v>C3R</v>
      </c>
      <c r="L42" s="29"/>
      <c r="M42" s="44"/>
      <c r="N42" s="46">
        <f>'Table 1'!E35</f>
        <v>1165</v>
      </c>
      <c r="O42" s="44"/>
      <c r="P42" s="44"/>
      <c r="Q42" s="44"/>
      <c r="R42" s="29">
        <f>'Table 1'!F35</f>
        <v>6311</v>
      </c>
      <c r="S42" s="44"/>
      <c r="T42" s="29" t="str">
        <f>'Table 1'!H35</f>
        <v>C</v>
      </c>
      <c r="U42" s="29"/>
      <c r="V42" s="29"/>
      <c r="W42" s="29"/>
      <c r="X42" s="29"/>
      <c r="Y42" s="44"/>
      <c r="Z42" s="44"/>
      <c r="AA42" s="44"/>
      <c r="AB42" s="44"/>
      <c r="AC42" s="44"/>
      <c r="AD42" s="44"/>
      <c r="AE42" s="46">
        <f>'Table 1'!G35</f>
        <v>301</v>
      </c>
      <c r="AF42" s="44"/>
      <c r="AG42" s="44"/>
      <c r="AH42" s="44"/>
      <c r="AI42" s="47">
        <f>'Table 1'!I35*100</f>
        <v>1</v>
      </c>
      <c r="AJ42" s="44"/>
      <c r="AK42" s="44"/>
      <c r="AL42" s="44"/>
      <c r="AM42" s="44"/>
    </row>
    <row r="43" spans="2:39" ht="13.8" x14ac:dyDescent="0.25">
      <c r="B43" s="45" t="str">
        <f t="shared" si="0"/>
        <v>CR-7_I-95_CR-7</v>
      </c>
      <c r="C43" s="29" t="str">
        <f>'Table 1'!A36</f>
        <v>CR-713 (High Meadow Ave)</v>
      </c>
      <c r="D43" s="29" t="str">
        <f>'Table 1'!B36</f>
        <v>I-95</v>
      </c>
      <c r="E43" s="29" t="str">
        <f>'Table 1'!C36</f>
        <v>CR-714</v>
      </c>
      <c r="F43" s="44"/>
      <c r="G43" s="44"/>
      <c r="H43" s="44"/>
      <c r="I43" s="44"/>
      <c r="J43" s="44"/>
      <c r="K43" s="29" t="str">
        <f>'Table 1'!D36</f>
        <v>C3C</v>
      </c>
      <c r="L43" s="29"/>
      <c r="M43" s="44"/>
      <c r="N43" s="46">
        <f>'Table 1'!E36</f>
        <v>1125</v>
      </c>
      <c r="O43" s="44"/>
      <c r="P43" s="44"/>
      <c r="Q43" s="44"/>
      <c r="R43" s="29">
        <f>'Table 1'!F36</f>
        <v>14293</v>
      </c>
      <c r="S43" s="44"/>
      <c r="T43" s="29" t="str">
        <f>'Table 1'!H36</f>
        <v>E</v>
      </c>
      <c r="U43" s="29"/>
      <c r="V43" s="29"/>
      <c r="W43" s="29"/>
      <c r="X43" s="29"/>
      <c r="Y43" s="44"/>
      <c r="Z43" s="44"/>
      <c r="AA43" s="44"/>
      <c r="AB43" s="44"/>
      <c r="AC43" s="44"/>
      <c r="AD43" s="44"/>
      <c r="AE43" s="46">
        <f>'Table 1'!G36</f>
        <v>1207</v>
      </c>
      <c r="AF43" s="44"/>
      <c r="AG43" s="44"/>
      <c r="AH43" s="44"/>
      <c r="AI43" s="47">
        <f>'Table 1'!I36*100</f>
        <v>2.1</v>
      </c>
      <c r="AJ43" s="44"/>
      <c r="AK43" s="44"/>
      <c r="AL43" s="44"/>
      <c r="AM43" s="44"/>
    </row>
    <row r="44" spans="2:39" ht="13.8" x14ac:dyDescent="0.25">
      <c r="B44" s="45" t="str">
        <f t="shared" si="0"/>
        <v>CR-7_CR-7_SR-7</v>
      </c>
      <c r="C44" s="29" t="str">
        <f>'Table 1'!A37</f>
        <v>CR-713 (High Meadow Ave)</v>
      </c>
      <c r="D44" s="29" t="str">
        <f>'Table 1'!B37</f>
        <v>CR-714</v>
      </c>
      <c r="E44" s="29" t="str">
        <f>'Table 1'!C37</f>
        <v>SR-714</v>
      </c>
      <c r="F44" s="44"/>
      <c r="G44" s="44"/>
      <c r="H44" s="44"/>
      <c r="I44" s="44"/>
      <c r="J44" s="44"/>
      <c r="K44" s="29" t="str">
        <f>'Table 1'!D37</f>
        <v>C3R</v>
      </c>
      <c r="L44" s="29"/>
      <c r="M44" s="44"/>
      <c r="N44" s="46">
        <f>'Table 1'!E37</f>
        <v>1165</v>
      </c>
      <c r="O44" s="44"/>
      <c r="P44" s="44"/>
      <c r="Q44" s="44"/>
      <c r="R44" s="29">
        <f>'Table 1'!F37</f>
        <v>9701</v>
      </c>
      <c r="S44" s="44"/>
      <c r="T44" s="29" t="str">
        <f>'Table 1'!H37</f>
        <v>C</v>
      </c>
      <c r="U44" s="29"/>
      <c r="V44" s="29"/>
      <c r="W44" s="29"/>
      <c r="X44" s="29"/>
      <c r="Y44" s="44"/>
      <c r="Z44" s="44"/>
      <c r="AA44" s="44"/>
      <c r="AB44" s="44"/>
      <c r="AC44" s="44"/>
      <c r="AD44" s="44"/>
      <c r="AE44" s="46">
        <f>'Table 1'!G37</f>
        <v>514</v>
      </c>
      <c r="AF44" s="44"/>
      <c r="AG44" s="44"/>
      <c r="AH44" s="44"/>
      <c r="AI44" s="47">
        <f>'Table 1'!I37*100</f>
        <v>0.5</v>
      </c>
      <c r="AJ44" s="44"/>
      <c r="AK44" s="44"/>
      <c r="AL44" s="44"/>
      <c r="AM44" s="44"/>
    </row>
    <row r="45" spans="2:39" ht="13.8" x14ac:dyDescent="0.25">
      <c r="B45" s="45" t="str">
        <f t="shared" si="0"/>
        <v>CR-7_SR-7_Murp</v>
      </c>
      <c r="C45" s="29" t="str">
        <f>'Table 1'!A38</f>
        <v>CR-713 (High Meadow Ave)</v>
      </c>
      <c r="D45" s="29" t="str">
        <f>'Table 1'!B38</f>
        <v>SR-714</v>
      </c>
      <c r="E45" s="29" t="str">
        <f>'Table 1'!C38</f>
        <v>Murphy Rd</v>
      </c>
      <c r="F45" s="44"/>
      <c r="G45" s="44"/>
      <c r="H45" s="44"/>
      <c r="I45" s="44"/>
      <c r="J45" s="44"/>
      <c r="K45" s="29" t="str">
        <f>'Table 1'!D38</f>
        <v>C3R</v>
      </c>
      <c r="L45" s="29"/>
      <c r="M45" s="44"/>
      <c r="N45" s="46">
        <f>'Table 1'!E38</f>
        <v>1165</v>
      </c>
      <c r="O45" s="44"/>
      <c r="P45" s="44"/>
      <c r="Q45" s="44"/>
      <c r="R45" s="29">
        <f>'Table 1'!F38</f>
        <v>12673</v>
      </c>
      <c r="S45" s="44"/>
      <c r="T45" s="29" t="str">
        <f>'Table 1'!H38</f>
        <v>C</v>
      </c>
      <c r="U45" s="29"/>
      <c r="V45" s="29"/>
      <c r="W45" s="29"/>
      <c r="X45" s="29"/>
      <c r="Y45" s="44"/>
      <c r="Z45" s="44"/>
      <c r="AA45" s="44"/>
      <c r="AB45" s="44"/>
      <c r="AC45" s="44"/>
      <c r="AD45" s="44"/>
      <c r="AE45" s="46">
        <f>'Table 1'!G38</f>
        <v>534</v>
      </c>
      <c r="AF45" s="44"/>
      <c r="AG45" s="44"/>
      <c r="AH45" s="44"/>
      <c r="AI45" s="47">
        <f>'Table 1'!I38*100</f>
        <v>0.5</v>
      </c>
      <c r="AJ45" s="44"/>
      <c r="AK45" s="44"/>
      <c r="AL45" s="44"/>
      <c r="AM45" s="44"/>
    </row>
    <row r="46" spans="2:39" ht="13.8" x14ac:dyDescent="0.25">
      <c r="B46" s="45" t="str">
        <f t="shared" si="0"/>
        <v xml:space="preserve">CR-7_SR-7_Fox </v>
      </c>
      <c r="C46" s="29" t="str">
        <f>'Table 1'!A39</f>
        <v>CR-714 (Martin Hwy)</v>
      </c>
      <c r="D46" s="29" t="str">
        <f>'Table 1'!B39</f>
        <v>SR-710</v>
      </c>
      <c r="E46" s="29" t="str">
        <f>'Table 1'!C39</f>
        <v>Fox Brown Rd</v>
      </c>
      <c r="F46" s="44"/>
      <c r="G46" s="44"/>
      <c r="H46" s="44"/>
      <c r="I46" s="44"/>
      <c r="J46" s="44"/>
      <c r="K46" s="29" t="str">
        <f>'Table 1'!D39</f>
        <v>C2</v>
      </c>
      <c r="L46" s="29"/>
      <c r="M46" s="44"/>
      <c r="N46" s="46">
        <f>'Table 1'!E39</f>
        <v>730</v>
      </c>
      <c r="O46" s="44"/>
      <c r="P46" s="44"/>
      <c r="Q46" s="44"/>
      <c r="R46" s="29">
        <f>'Table 1'!F39</f>
        <v>4358</v>
      </c>
      <c r="S46" s="44"/>
      <c r="T46" s="29" t="str">
        <f>'Table 1'!H39</f>
        <v>A/B</v>
      </c>
      <c r="U46" s="29"/>
      <c r="V46" s="29"/>
      <c r="W46" s="29"/>
      <c r="X46" s="29"/>
      <c r="Y46" s="44"/>
      <c r="Z46" s="44"/>
      <c r="AA46" s="44"/>
      <c r="AB46" s="44"/>
      <c r="AC46" s="44"/>
      <c r="AD46" s="44"/>
      <c r="AE46" s="46">
        <f>'Table 1'!G39</f>
        <v>185</v>
      </c>
      <c r="AF46" s="44"/>
      <c r="AG46" s="44"/>
      <c r="AH46" s="44"/>
      <c r="AI46" s="47">
        <f>'Table 1'!I39*100</f>
        <v>6.3</v>
      </c>
      <c r="AJ46" s="44"/>
      <c r="AK46" s="44"/>
      <c r="AL46" s="44"/>
      <c r="AM46" s="44"/>
    </row>
    <row r="47" spans="2:39" ht="13.8" x14ac:dyDescent="0.25">
      <c r="B47" s="45" t="str">
        <f t="shared" si="0"/>
        <v>CR-7_Fox _CR-6</v>
      </c>
      <c r="C47" s="29" t="str">
        <f>'Table 1'!A40</f>
        <v>CR-714 (Martin Hwy)</v>
      </c>
      <c r="D47" s="29" t="str">
        <f>'Table 1'!B40</f>
        <v>Fox Brown Rd</v>
      </c>
      <c r="E47" s="29" t="str">
        <f>'Table 1'!C40</f>
        <v>CR-609</v>
      </c>
      <c r="F47" s="44"/>
      <c r="G47" s="44"/>
      <c r="H47" s="44"/>
      <c r="I47" s="44"/>
      <c r="J47" s="44"/>
      <c r="K47" s="29" t="str">
        <f>'Table 1'!D40</f>
        <v>C2</v>
      </c>
      <c r="L47" s="29"/>
      <c r="M47" s="44"/>
      <c r="N47" s="46">
        <f>'Table 1'!E40</f>
        <v>730</v>
      </c>
      <c r="O47" s="44"/>
      <c r="P47" s="44"/>
      <c r="Q47" s="44"/>
      <c r="R47" s="29">
        <f>'Table 1'!F40</f>
        <v>4336</v>
      </c>
      <c r="S47" s="44"/>
      <c r="T47" s="29" t="str">
        <f>'Table 1'!H40</f>
        <v>A/B</v>
      </c>
      <c r="U47" s="29"/>
      <c r="V47" s="29"/>
      <c r="W47" s="29"/>
      <c r="X47" s="29"/>
      <c r="Y47" s="44"/>
      <c r="Z47" s="44"/>
      <c r="AA47" s="44"/>
      <c r="AB47" s="44"/>
      <c r="AC47" s="44"/>
      <c r="AD47" s="44"/>
      <c r="AE47" s="46">
        <f>'Table 1'!G40</f>
        <v>189</v>
      </c>
      <c r="AF47" s="44"/>
      <c r="AG47" s="44"/>
      <c r="AH47" s="44"/>
      <c r="AI47" s="47">
        <f>'Table 1'!I40*100</f>
        <v>4.2</v>
      </c>
      <c r="AJ47" s="44"/>
      <c r="AK47" s="44"/>
      <c r="AL47" s="44"/>
      <c r="AM47" s="44"/>
    </row>
    <row r="48" spans="2:39" ht="13.8" x14ac:dyDescent="0.25">
      <c r="B48" s="45" t="str">
        <f t="shared" si="0"/>
        <v>CR-7_CR-6_I-95</v>
      </c>
      <c r="C48" s="29" t="str">
        <f>'Table 1'!A41</f>
        <v>CR-714 (Martin Hwy)</v>
      </c>
      <c r="D48" s="29" t="str">
        <f>'Table 1'!B41</f>
        <v>CR-609</v>
      </c>
      <c r="E48" s="29" t="str">
        <f>'Table 1'!C41</f>
        <v>I-95</v>
      </c>
      <c r="F48" s="44"/>
      <c r="G48" s="44"/>
      <c r="H48" s="44"/>
      <c r="I48" s="44"/>
      <c r="J48" s="44"/>
      <c r="K48" s="29" t="str">
        <f>'Table 1'!D41</f>
        <v>C2</v>
      </c>
      <c r="L48" s="29"/>
      <c r="M48" s="44"/>
      <c r="N48" s="46">
        <f>'Table 1'!E41</f>
        <v>730</v>
      </c>
      <c r="O48" s="44"/>
      <c r="P48" s="44"/>
      <c r="Q48" s="44"/>
      <c r="R48" s="29">
        <f>'Table 1'!F41</f>
        <v>6885</v>
      </c>
      <c r="S48" s="44"/>
      <c r="T48" s="29" t="str">
        <f>'Table 1'!H41</f>
        <v>C</v>
      </c>
      <c r="U48" s="29"/>
      <c r="V48" s="29"/>
      <c r="W48" s="29"/>
      <c r="X48" s="29"/>
      <c r="Y48" s="44"/>
      <c r="Z48" s="44"/>
      <c r="AA48" s="44"/>
      <c r="AB48" s="44"/>
      <c r="AC48" s="44"/>
      <c r="AD48" s="44"/>
      <c r="AE48" s="46">
        <f>'Table 1'!G41</f>
        <v>333</v>
      </c>
      <c r="AF48" s="44"/>
      <c r="AG48" s="44"/>
      <c r="AH48" s="44"/>
      <c r="AI48" s="47">
        <f>'Table 1'!I41*100</f>
        <v>4.5999999999999996</v>
      </c>
      <c r="AJ48" s="44"/>
      <c r="AK48" s="44"/>
      <c r="AL48" s="44"/>
      <c r="AM48" s="44"/>
    </row>
    <row r="49" spans="2:39" ht="13.8" x14ac:dyDescent="0.25">
      <c r="B49" s="45" t="str">
        <f t="shared" si="0"/>
        <v>CR-7_Flor_CR-7</v>
      </c>
      <c r="C49" s="29" t="str">
        <f>'Table 1'!A42</f>
        <v>CR-714 (Martin Hwy)</v>
      </c>
      <c r="D49" s="29" t="str">
        <f>'Table 1'!B42</f>
        <v>Florida's Turnpike</v>
      </c>
      <c r="E49" s="29" t="str">
        <f>'Table 1'!C42</f>
        <v>CR-713</v>
      </c>
      <c r="F49" s="44"/>
      <c r="G49" s="44"/>
      <c r="H49" s="44"/>
      <c r="I49" s="44"/>
      <c r="J49" s="44"/>
      <c r="K49" s="29" t="str">
        <f>'Table 1'!D42</f>
        <v>C3C</v>
      </c>
      <c r="L49" s="29"/>
      <c r="M49" s="44"/>
      <c r="N49" s="46">
        <f>'Table 1'!E42</f>
        <v>1900</v>
      </c>
      <c r="O49" s="44"/>
      <c r="P49" s="44"/>
      <c r="Q49" s="44"/>
      <c r="R49" s="29">
        <f>'Table 1'!F42</f>
        <v>20434</v>
      </c>
      <c r="S49" s="44"/>
      <c r="T49" s="29" t="str">
        <f>'Table 1'!H42</f>
        <v>C</v>
      </c>
      <c r="U49" s="29"/>
      <c r="V49" s="29"/>
      <c r="W49" s="29"/>
      <c r="X49" s="29"/>
      <c r="Y49" s="44"/>
      <c r="Z49" s="44"/>
      <c r="AA49" s="44"/>
      <c r="AB49" s="44"/>
      <c r="AC49" s="44"/>
      <c r="AD49" s="44"/>
      <c r="AE49" s="46">
        <f>'Table 1'!G42</f>
        <v>1410</v>
      </c>
      <c r="AF49" s="44"/>
      <c r="AG49" s="44"/>
      <c r="AH49" s="44"/>
      <c r="AI49" s="47">
        <f>'Table 1'!I42*100</f>
        <v>0.5</v>
      </c>
      <c r="AJ49" s="44"/>
      <c r="AK49" s="44"/>
      <c r="AL49" s="44"/>
      <c r="AM49" s="44"/>
    </row>
    <row r="50" spans="2:39" ht="13.8" x14ac:dyDescent="0.25">
      <c r="B50" s="45" t="str">
        <f t="shared" si="0"/>
        <v>CR-7_CR-7_Mapp</v>
      </c>
      <c r="C50" s="29" t="str">
        <f>'Table 1'!A43</f>
        <v>CR-714 (Martin Hwy)</v>
      </c>
      <c r="D50" s="29" t="str">
        <f>'Table 1'!B43</f>
        <v>CR-713</v>
      </c>
      <c r="E50" s="29" t="str">
        <f>'Table 1'!C43</f>
        <v>Mapp Rd</v>
      </c>
      <c r="F50" s="44"/>
      <c r="G50" s="44"/>
      <c r="H50" s="44"/>
      <c r="I50" s="44"/>
      <c r="J50" s="44"/>
      <c r="K50" s="29" t="str">
        <f>'Table 1'!D43</f>
        <v>C3C</v>
      </c>
      <c r="L50" s="29"/>
      <c r="M50" s="44"/>
      <c r="N50" s="46">
        <f>'Table 1'!E43</f>
        <v>1900</v>
      </c>
      <c r="O50" s="44"/>
      <c r="P50" s="44"/>
      <c r="Q50" s="44"/>
      <c r="R50" s="29">
        <f>'Table 1'!F43</f>
        <v>22867</v>
      </c>
      <c r="S50" s="44"/>
      <c r="T50" s="29" t="str">
        <f>'Table 1'!H43</f>
        <v>C</v>
      </c>
      <c r="U50" s="29"/>
      <c r="V50" s="29"/>
      <c r="W50" s="29"/>
      <c r="X50" s="29"/>
      <c r="Y50" s="44"/>
      <c r="Z50" s="44"/>
      <c r="AA50" s="44"/>
      <c r="AB50" s="44"/>
      <c r="AC50" s="44"/>
      <c r="AD50" s="44"/>
      <c r="AE50" s="46">
        <f>'Table 1'!G43</f>
        <v>1190</v>
      </c>
      <c r="AF50" s="44"/>
      <c r="AG50" s="44"/>
      <c r="AH50" s="44"/>
      <c r="AI50" s="47">
        <f>'Table 1'!I43*100</f>
        <v>0.5</v>
      </c>
      <c r="AJ50" s="44"/>
      <c r="AK50" s="44"/>
      <c r="AL50" s="44"/>
      <c r="AM50" s="44"/>
    </row>
    <row r="51" spans="2:39" ht="13.8" x14ac:dyDescent="0.25">
      <c r="B51" s="45" t="str">
        <f t="shared" si="0"/>
        <v>CR-7_Mapp_SR-7</v>
      </c>
      <c r="C51" s="29" t="str">
        <f>'Table 1'!A44</f>
        <v>CR-714 (Veteran's Memorial Bridge)</v>
      </c>
      <c r="D51" s="29" t="str">
        <f>'Table 1'!B44</f>
        <v>Mapp Rd</v>
      </c>
      <c r="E51" s="29" t="str">
        <f>'Table 1'!C44</f>
        <v>SR-76</v>
      </c>
      <c r="F51" s="44"/>
      <c r="G51" s="44"/>
      <c r="H51" s="44"/>
      <c r="I51" s="44"/>
      <c r="J51" s="44"/>
      <c r="K51" s="29" t="str">
        <f>'Table 1'!D44</f>
        <v>C3C</v>
      </c>
      <c r="L51" s="29"/>
      <c r="M51" s="44"/>
      <c r="N51" s="46">
        <f>'Table 1'!E44</f>
        <v>1900</v>
      </c>
      <c r="O51" s="44"/>
      <c r="P51" s="44"/>
      <c r="Q51" s="44"/>
      <c r="R51" s="29">
        <f>'Table 1'!F44</f>
        <v>24744</v>
      </c>
      <c r="S51" s="44"/>
      <c r="T51" s="29" t="str">
        <f>'Table 1'!H44</f>
        <v>C</v>
      </c>
      <c r="U51" s="29"/>
      <c r="V51" s="29"/>
      <c r="W51" s="29"/>
      <c r="X51" s="29"/>
      <c r="Y51" s="44"/>
      <c r="Z51" s="44"/>
      <c r="AA51" s="44"/>
      <c r="AB51" s="44"/>
      <c r="AC51" s="44"/>
      <c r="AD51" s="44"/>
      <c r="AE51" s="46">
        <f>'Table 1'!G44</f>
        <v>1443</v>
      </c>
      <c r="AF51" s="44"/>
      <c r="AG51" s="44"/>
      <c r="AH51" s="44"/>
      <c r="AI51" s="47">
        <f>'Table 1'!I44*100</f>
        <v>0.8</v>
      </c>
      <c r="AJ51" s="44"/>
      <c r="AK51" s="44"/>
      <c r="AL51" s="44"/>
      <c r="AM51" s="44"/>
    </row>
    <row r="52" spans="2:39" ht="13.8" x14ac:dyDescent="0.25">
      <c r="B52" s="45" t="str">
        <f t="shared" si="0"/>
        <v>CR-7_CR-7_NE 2</v>
      </c>
      <c r="C52" s="29" t="str">
        <f>'Table 1'!A45</f>
        <v>CR-723 (Savanna Rd)</v>
      </c>
      <c r="D52" s="29" t="str">
        <f>'Table 1'!B45</f>
        <v>CR-707</v>
      </c>
      <c r="E52" s="29" t="str">
        <f>'Table 1'!C45</f>
        <v>NE 24th St</v>
      </c>
      <c r="F52" s="44"/>
      <c r="G52" s="44"/>
      <c r="H52" s="44"/>
      <c r="I52" s="44"/>
      <c r="J52" s="44"/>
      <c r="K52" s="29" t="str">
        <f>'Table 1'!D45</f>
        <v>C3R</v>
      </c>
      <c r="L52" s="29"/>
      <c r="M52" s="44"/>
      <c r="N52" s="46">
        <f>'Table 1'!E45</f>
        <v>1165</v>
      </c>
      <c r="O52" s="44"/>
      <c r="P52" s="44"/>
      <c r="Q52" s="44"/>
      <c r="R52" s="29">
        <f>'Table 1'!F45</f>
        <v>8521</v>
      </c>
      <c r="S52" s="44"/>
      <c r="T52" s="29" t="str">
        <f>'Table 1'!H45</f>
        <v>C</v>
      </c>
      <c r="U52" s="29"/>
      <c r="V52" s="29"/>
      <c r="W52" s="29"/>
      <c r="X52" s="29"/>
      <c r="Y52" s="44"/>
      <c r="Z52" s="44"/>
      <c r="AA52" s="44"/>
      <c r="AB52" s="44"/>
      <c r="AC52" s="44"/>
      <c r="AD52" s="44"/>
      <c r="AE52" s="46">
        <f>'Table 1'!G45</f>
        <v>391</v>
      </c>
      <c r="AF52" s="44"/>
      <c r="AG52" s="44"/>
      <c r="AH52" s="44"/>
      <c r="AI52" s="47">
        <f>'Table 1'!I45*100</f>
        <v>0.5</v>
      </c>
      <c r="AJ52" s="44"/>
      <c r="AK52" s="44"/>
      <c r="AL52" s="44"/>
      <c r="AM52" s="44"/>
    </row>
    <row r="53" spans="2:39" ht="13.8" x14ac:dyDescent="0.25">
      <c r="B53" s="45" t="str">
        <f t="shared" si="0"/>
        <v>CR-7_NE 2_CR-7</v>
      </c>
      <c r="C53" s="29" t="str">
        <f>'Table 1'!A46</f>
        <v>CR-723 (Savanna Rd)</v>
      </c>
      <c r="D53" s="29" t="str">
        <f>'Table 1'!B46</f>
        <v>NE 24th St</v>
      </c>
      <c r="E53" s="29" t="str">
        <f>'Table 1'!C46</f>
        <v>CR-707A (Jensen Beach Blvd.)</v>
      </c>
      <c r="F53" s="44"/>
      <c r="G53" s="44"/>
      <c r="H53" s="44"/>
      <c r="I53" s="44"/>
      <c r="J53" s="44"/>
      <c r="K53" s="29" t="str">
        <f>'Table 1'!D46</f>
        <v>C3R</v>
      </c>
      <c r="L53" s="29"/>
      <c r="M53" s="44"/>
      <c r="N53" s="46">
        <f>'Table 1'!E46</f>
        <v>1165</v>
      </c>
      <c r="O53" s="44"/>
      <c r="P53" s="44"/>
      <c r="Q53" s="44"/>
      <c r="R53" s="29">
        <f>'Table 1'!F46</f>
        <v>9649</v>
      </c>
      <c r="S53" s="44"/>
      <c r="T53" s="29" t="str">
        <f>'Table 1'!H46</f>
        <v>C</v>
      </c>
      <c r="U53" s="29"/>
      <c r="V53" s="29"/>
      <c r="W53" s="29"/>
      <c r="X53" s="29"/>
      <c r="Y53" s="44"/>
      <c r="Z53" s="44"/>
      <c r="AA53" s="44"/>
      <c r="AB53" s="44"/>
      <c r="AC53" s="44"/>
      <c r="AD53" s="44"/>
      <c r="AE53" s="46">
        <f>'Table 1'!G46</f>
        <v>437</v>
      </c>
      <c r="AF53" s="44"/>
      <c r="AG53" s="44"/>
      <c r="AH53" s="44"/>
      <c r="AI53" s="47">
        <f>'Table 1'!I46*100</f>
        <v>0.5</v>
      </c>
      <c r="AJ53" s="44"/>
      <c r="AK53" s="44"/>
      <c r="AL53" s="44"/>
      <c r="AM53" s="44"/>
    </row>
    <row r="54" spans="2:39" ht="13.8" x14ac:dyDescent="0.25">
      <c r="B54" s="45" t="str">
        <f t="shared" si="0"/>
        <v>CR-7_SR-7_Gree</v>
      </c>
      <c r="C54" s="29" t="str">
        <f>'Table 1'!A47</f>
        <v>CR-726 (Citrus Blvd)</v>
      </c>
      <c r="D54" s="29" t="str">
        <f>'Table 1'!B47</f>
        <v>SR-710</v>
      </c>
      <c r="E54" s="29" t="str">
        <f>'Table 1'!C47</f>
        <v>Greenridge Ln</v>
      </c>
      <c r="F54" s="44"/>
      <c r="G54" s="44"/>
      <c r="H54" s="44"/>
      <c r="I54" s="44"/>
      <c r="J54" s="44"/>
      <c r="K54" s="29" t="str">
        <f>'Table 1'!D47</f>
        <v>C2</v>
      </c>
      <c r="L54" s="29"/>
      <c r="M54" s="44"/>
      <c r="N54" s="46">
        <f>'Table 1'!E47</f>
        <v>730</v>
      </c>
      <c r="O54" s="44"/>
      <c r="P54" s="44"/>
      <c r="Q54" s="44"/>
      <c r="R54" s="29">
        <f>'Table 1'!F47</f>
        <v>3253</v>
      </c>
      <c r="S54" s="44"/>
      <c r="T54" s="29" t="str">
        <f>'Table 1'!H47</f>
        <v>A/B</v>
      </c>
      <c r="U54" s="29"/>
      <c r="V54" s="29"/>
      <c r="W54" s="29"/>
      <c r="X54" s="29"/>
      <c r="Y54" s="44"/>
      <c r="Z54" s="44"/>
      <c r="AA54" s="44"/>
      <c r="AB54" s="44"/>
      <c r="AC54" s="44"/>
      <c r="AD54" s="44"/>
      <c r="AE54" s="46">
        <f>'Table 1'!G47</f>
        <v>187</v>
      </c>
      <c r="AF54" s="44"/>
      <c r="AG54" s="44"/>
      <c r="AH54" s="44"/>
      <c r="AI54" s="47">
        <f>'Table 1'!I47*100</f>
        <v>4</v>
      </c>
      <c r="AJ54" s="44"/>
      <c r="AK54" s="44"/>
      <c r="AL54" s="44"/>
      <c r="AM54" s="44"/>
    </row>
    <row r="55" spans="2:39" ht="13.8" x14ac:dyDescent="0.25">
      <c r="B55" s="45" t="str">
        <f t="shared" si="0"/>
        <v>CR-7_Gree_CR-7</v>
      </c>
      <c r="C55" s="29" t="str">
        <f>'Table 1'!A48</f>
        <v>CR-726 (Citrus Blvd)</v>
      </c>
      <c r="D55" s="29" t="str">
        <f>'Table 1'!B48</f>
        <v>Greenridge Ln</v>
      </c>
      <c r="E55" s="29" t="str">
        <f>'Table 1'!C48</f>
        <v>CR-76A</v>
      </c>
      <c r="F55" s="44"/>
      <c r="G55" s="44"/>
      <c r="H55" s="44"/>
      <c r="I55" s="44"/>
      <c r="J55" s="44"/>
      <c r="K55" s="29" t="str">
        <f>'Table 1'!D48</f>
        <v>C2</v>
      </c>
      <c r="L55" s="29"/>
      <c r="M55" s="44"/>
      <c r="N55" s="46">
        <f>'Table 1'!E48</f>
        <v>730</v>
      </c>
      <c r="O55" s="44"/>
      <c r="P55" s="44"/>
      <c r="Q55" s="44"/>
      <c r="R55" s="29">
        <f>'Table 1'!F48</f>
        <v>3298</v>
      </c>
      <c r="S55" s="44"/>
      <c r="T55" s="29" t="str">
        <f>'Table 1'!H48</f>
        <v>A/B</v>
      </c>
      <c r="U55" s="29"/>
      <c r="V55" s="29"/>
      <c r="W55" s="29"/>
      <c r="X55" s="29"/>
      <c r="Y55" s="44"/>
      <c r="Z55" s="44"/>
      <c r="AA55" s="44"/>
      <c r="AB55" s="44"/>
      <c r="AC55" s="44"/>
      <c r="AD55" s="44"/>
      <c r="AE55" s="46">
        <f>'Table 1'!G48</f>
        <v>189</v>
      </c>
      <c r="AF55" s="44"/>
      <c r="AG55" s="44"/>
      <c r="AH55" s="44"/>
      <c r="AI55" s="47">
        <f>'Table 1'!I48*100</f>
        <v>7.3</v>
      </c>
      <c r="AJ55" s="44"/>
      <c r="AK55" s="44"/>
      <c r="AL55" s="44"/>
      <c r="AM55" s="44"/>
    </row>
    <row r="56" spans="2:39" ht="13.8" x14ac:dyDescent="0.25">
      <c r="B56" s="45" t="str">
        <f t="shared" si="0"/>
        <v>CR-7_CR-7_SR-7</v>
      </c>
      <c r="C56" s="29" t="str">
        <f>'Table 1'!A49</f>
        <v>CR-76A (Citrus Blvd.)</v>
      </c>
      <c r="D56" s="29" t="str">
        <f>'Table 1'!B49</f>
        <v>CR-726</v>
      </c>
      <c r="E56" s="29" t="str">
        <f>'Table 1'!C49</f>
        <v>SR-714</v>
      </c>
      <c r="F56" s="44"/>
      <c r="G56" s="44"/>
      <c r="H56" s="44"/>
      <c r="I56" s="44"/>
      <c r="J56" s="44"/>
      <c r="K56" s="29" t="str">
        <f>'Table 1'!D49</f>
        <v>C2</v>
      </c>
      <c r="L56" s="29"/>
      <c r="M56" s="44"/>
      <c r="N56" s="46">
        <f>'Table 1'!E49</f>
        <v>730</v>
      </c>
      <c r="O56" s="44"/>
      <c r="P56" s="44"/>
      <c r="Q56" s="44"/>
      <c r="R56" s="29">
        <f>'Table 1'!F49</f>
        <v>4663</v>
      </c>
      <c r="S56" s="44"/>
      <c r="T56" s="29" t="str">
        <f>'Table 1'!H49</f>
        <v>A/B</v>
      </c>
      <c r="U56" s="29"/>
      <c r="V56" s="29"/>
      <c r="W56" s="29"/>
      <c r="X56" s="29"/>
      <c r="Y56" s="44"/>
      <c r="Z56" s="44"/>
      <c r="AA56" s="44"/>
      <c r="AB56" s="44"/>
      <c r="AC56" s="44"/>
      <c r="AD56" s="44"/>
      <c r="AE56" s="46">
        <f>'Table 1'!G49</f>
        <v>221</v>
      </c>
      <c r="AF56" s="44"/>
      <c r="AG56" s="44"/>
      <c r="AH56" s="44"/>
      <c r="AI56" s="47">
        <f>'Table 1'!I49*100</f>
        <v>2.1999999999999997</v>
      </c>
      <c r="AJ56" s="44"/>
      <c r="AK56" s="44"/>
      <c r="AL56" s="44"/>
      <c r="AM56" s="44"/>
    </row>
    <row r="57" spans="2:39" ht="13.8" x14ac:dyDescent="0.25">
      <c r="B57" s="45" t="str">
        <f t="shared" si="0"/>
        <v>CR-7_CR-7_Bobc</v>
      </c>
      <c r="C57" s="29" t="str">
        <f>'Table 1'!A50</f>
        <v>CR-76A (SW 96th St)</v>
      </c>
      <c r="D57" s="29" t="str">
        <f>'Table 1'!B50</f>
        <v>CR-726</v>
      </c>
      <c r="E57" s="29" t="str">
        <f>'Table 1'!C50</f>
        <v>Bobcat Dr</v>
      </c>
      <c r="F57" s="44"/>
      <c r="G57" s="44"/>
      <c r="H57" s="44"/>
      <c r="I57" s="44"/>
      <c r="J57" s="44"/>
      <c r="K57" s="29" t="str">
        <f>'Table 1'!D50</f>
        <v>C2</v>
      </c>
      <c r="L57" s="29"/>
      <c r="M57" s="44"/>
      <c r="N57" s="46">
        <f>'Table 1'!E50</f>
        <v>730</v>
      </c>
      <c r="O57" s="44"/>
      <c r="P57" s="44"/>
      <c r="Q57" s="44"/>
      <c r="R57" s="29">
        <f>'Table 1'!F50</f>
        <v>4677</v>
      </c>
      <c r="S57" s="44"/>
      <c r="T57" s="29" t="str">
        <f>'Table 1'!H50</f>
        <v>C</v>
      </c>
      <c r="U57" s="29"/>
      <c r="V57" s="29"/>
      <c r="W57" s="29"/>
      <c r="X57" s="29"/>
      <c r="Y57" s="44"/>
      <c r="Z57" s="44"/>
      <c r="AA57" s="44"/>
      <c r="AB57" s="44"/>
      <c r="AC57" s="44"/>
      <c r="AD57" s="44"/>
      <c r="AE57" s="46">
        <f>'Table 1'!G50</f>
        <v>275</v>
      </c>
      <c r="AF57" s="44"/>
      <c r="AG57" s="44"/>
      <c r="AH57" s="44"/>
      <c r="AI57" s="47">
        <f>'Table 1'!I50*100</f>
        <v>5</v>
      </c>
      <c r="AJ57" s="44"/>
      <c r="AK57" s="44"/>
      <c r="AL57" s="44"/>
      <c r="AM57" s="44"/>
    </row>
    <row r="58" spans="2:39" ht="13.8" x14ac:dyDescent="0.25">
      <c r="B58" s="45" t="str">
        <f t="shared" si="0"/>
        <v>CR-7_Bobc_SR-7</v>
      </c>
      <c r="C58" s="29" t="str">
        <f>'Table 1'!A51</f>
        <v>CR-76A (SW 96th St)</v>
      </c>
      <c r="D58" s="29" t="str">
        <f>'Table 1'!B51</f>
        <v>Bobcat Dr</v>
      </c>
      <c r="E58" s="29" t="str">
        <f>'Table 1'!C51</f>
        <v>SR-76</v>
      </c>
      <c r="F58" s="44"/>
      <c r="G58" s="44"/>
      <c r="H58" s="44"/>
      <c r="I58" s="44"/>
      <c r="J58" s="44"/>
      <c r="K58" s="29" t="str">
        <f>'Table 1'!D51</f>
        <v>C3R</v>
      </c>
      <c r="L58" s="29"/>
      <c r="M58" s="44"/>
      <c r="N58" s="46">
        <f>'Table 1'!E51</f>
        <v>1165</v>
      </c>
      <c r="O58" s="44"/>
      <c r="P58" s="44"/>
      <c r="Q58" s="44"/>
      <c r="R58" s="29">
        <f>'Table 1'!F51</f>
        <v>8959</v>
      </c>
      <c r="S58" s="44"/>
      <c r="T58" s="29" t="str">
        <f>'Table 1'!H51</f>
        <v>C</v>
      </c>
      <c r="U58" s="29"/>
      <c r="V58" s="29"/>
      <c r="W58" s="29"/>
      <c r="X58" s="29"/>
      <c r="Y58" s="44"/>
      <c r="Z58" s="44"/>
      <c r="AA58" s="44"/>
      <c r="AB58" s="44"/>
      <c r="AC58" s="44"/>
      <c r="AD58" s="44"/>
      <c r="AE58" s="46">
        <f>'Table 1'!G51</f>
        <v>431</v>
      </c>
      <c r="AF58" s="44"/>
      <c r="AG58" s="44"/>
      <c r="AH58" s="44"/>
      <c r="AI58" s="47">
        <f>'Table 1'!I51*100</f>
        <v>2.6</v>
      </c>
      <c r="AJ58" s="44"/>
      <c r="AK58" s="44"/>
      <c r="AL58" s="44"/>
      <c r="AM58" s="44"/>
    </row>
    <row r="59" spans="2:39" ht="13.8" x14ac:dyDescent="0.25">
      <c r="B59" s="45" t="str">
        <f t="shared" si="0"/>
        <v>CR-A_SR-5_CR-7</v>
      </c>
      <c r="C59" s="29" t="str">
        <f>'Table 1'!A52</f>
        <v>CR-A1A (Dixie Hwy)</v>
      </c>
      <c r="D59" s="29" t="str">
        <f>'Table 1'!B52</f>
        <v>SR-5</v>
      </c>
      <c r="E59" s="29" t="str">
        <f>'Table 1'!C52</f>
        <v>CR-708</v>
      </c>
      <c r="F59" s="44"/>
      <c r="G59" s="44"/>
      <c r="H59" s="44"/>
      <c r="I59" s="44"/>
      <c r="J59" s="44"/>
      <c r="K59" s="29" t="str">
        <f>'Table 1'!D52</f>
        <v>C2</v>
      </c>
      <c r="L59" s="29"/>
      <c r="M59" s="44"/>
      <c r="N59" s="46">
        <f>'Table 1'!E52</f>
        <v>730</v>
      </c>
      <c r="O59" s="44"/>
      <c r="P59" s="44"/>
      <c r="Q59" s="44"/>
      <c r="R59" s="29">
        <f>'Table 1'!F52</f>
        <v>4301</v>
      </c>
      <c r="S59" s="44"/>
      <c r="T59" s="29" t="str">
        <f>'Table 1'!H52</f>
        <v>TCEA</v>
      </c>
      <c r="U59" s="29"/>
      <c r="V59" s="29"/>
      <c r="W59" s="29"/>
      <c r="X59" s="29"/>
      <c r="Y59" s="44"/>
      <c r="Z59" s="44"/>
      <c r="AA59" s="44"/>
      <c r="AB59" s="44"/>
      <c r="AC59" s="44"/>
      <c r="AD59" s="44"/>
      <c r="AE59" s="46">
        <f>'Table 1'!G52</f>
        <v>240</v>
      </c>
      <c r="AF59" s="44"/>
      <c r="AG59" s="44"/>
      <c r="AH59" s="44"/>
      <c r="AI59" s="47">
        <f>'Table 1'!I52*100</f>
        <v>5.8999999999999995</v>
      </c>
      <c r="AJ59" s="44"/>
      <c r="AK59" s="44"/>
      <c r="AL59" s="44"/>
      <c r="AM59" s="44"/>
    </row>
    <row r="60" spans="2:39" ht="13.8" x14ac:dyDescent="0.25">
      <c r="B60" s="45" t="str">
        <f t="shared" si="0"/>
        <v>CR-A_CR-7_Ospr</v>
      </c>
      <c r="C60" s="29" t="str">
        <f>'Table 1'!A53</f>
        <v>CR-A1A (Dixie Hwy)</v>
      </c>
      <c r="D60" s="29" t="str">
        <f>'Table 1'!B53</f>
        <v>CR-708</v>
      </c>
      <c r="E60" s="29" t="str">
        <f>'Table 1'!C53</f>
        <v>Osprey St</v>
      </c>
      <c r="F60" s="44"/>
      <c r="G60" s="44"/>
      <c r="H60" s="44"/>
      <c r="I60" s="44"/>
      <c r="J60" s="44"/>
      <c r="K60" s="29" t="str">
        <f>'Table 1'!D53</f>
        <v>C3R</v>
      </c>
      <c r="L60" s="29"/>
      <c r="M60" s="44"/>
      <c r="N60" s="46">
        <f>'Table 1'!E53</f>
        <v>890</v>
      </c>
      <c r="O60" s="44"/>
      <c r="P60" s="44"/>
      <c r="Q60" s="44"/>
      <c r="R60" s="29">
        <f>'Table 1'!F53</f>
        <v>7574</v>
      </c>
      <c r="S60" s="44"/>
      <c r="T60" s="29" t="str">
        <f>'Table 1'!H53</f>
        <v>TCEA</v>
      </c>
      <c r="U60" s="29"/>
      <c r="V60" s="29"/>
      <c r="W60" s="29"/>
      <c r="X60" s="29"/>
      <c r="Y60" s="44"/>
      <c r="Z60" s="44"/>
      <c r="AA60" s="44"/>
      <c r="AB60" s="44"/>
      <c r="AC60" s="44"/>
      <c r="AD60" s="44"/>
      <c r="AE60" s="46">
        <f>'Table 1'!G53</f>
        <v>505</v>
      </c>
      <c r="AF60" s="44"/>
      <c r="AG60" s="44"/>
      <c r="AH60" s="44"/>
      <c r="AI60" s="47">
        <f>'Table 1'!I53*100</f>
        <v>0.5</v>
      </c>
      <c r="AJ60" s="44"/>
      <c r="AK60" s="44"/>
      <c r="AL60" s="44"/>
      <c r="AM60" s="44"/>
    </row>
    <row r="61" spans="2:39" ht="13.8" x14ac:dyDescent="0.25">
      <c r="B61" s="45" t="str">
        <f t="shared" si="0"/>
        <v>CR-A_Ospr_Heri</v>
      </c>
      <c r="C61" s="29" t="str">
        <f>'Table 1'!A54</f>
        <v>CR-A1A (Dixie Hwy)</v>
      </c>
      <c r="D61" s="29" t="str">
        <f>'Table 1'!B54</f>
        <v>Osprey St</v>
      </c>
      <c r="E61" s="29" t="str">
        <f>'Table 1'!C54</f>
        <v>Heritage Blvd</v>
      </c>
      <c r="F61" s="44"/>
      <c r="G61" s="44"/>
      <c r="H61" s="44"/>
      <c r="I61" s="44"/>
      <c r="J61" s="44"/>
      <c r="K61" s="29" t="str">
        <f>'Table 1'!D54</f>
        <v>C3R</v>
      </c>
      <c r="L61" s="29"/>
      <c r="M61" s="44"/>
      <c r="N61" s="46">
        <f>'Table 1'!E54</f>
        <v>1110</v>
      </c>
      <c r="O61" s="44"/>
      <c r="P61" s="44"/>
      <c r="Q61" s="44"/>
      <c r="R61" s="29">
        <f>'Table 1'!F54</f>
        <v>7070</v>
      </c>
      <c r="S61" s="44"/>
      <c r="T61" s="29" t="str">
        <f>'Table 1'!H54</f>
        <v>C</v>
      </c>
      <c r="U61" s="29"/>
      <c r="V61" s="29"/>
      <c r="W61" s="29"/>
      <c r="X61" s="29"/>
      <c r="Y61" s="44"/>
      <c r="Z61" s="44"/>
      <c r="AA61" s="44"/>
      <c r="AB61" s="44"/>
      <c r="AC61" s="44"/>
      <c r="AD61" s="44"/>
      <c r="AE61" s="46">
        <f>'Table 1'!G54</f>
        <v>386</v>
      </c>
      <c r="AF61" s="44"/>
      <c r="AG61" s="44"/>
      <c r="AH61" s="44"/>
      <c r="AI61" s="47">
        <f>'Table 1'!I54*100</f>
        <v>1.7999999999999998</v>
      </c>
      <c r="AJ61" s="44"/>
      <c r="AK61" s="44"/>
      <c r="AL61" s="44"/>
      <c r="AM61" s="44"/>
    </row>
    <row r="62" spans="2:39" ht="13.8" x14ac:dyDescent="0.25">
      <c r="B62" s="45" t="str">
        <f t="shared" si="0"/>
        <v>CR-A_Heri_Cove</v>
      </c>
      <c r="C62" s="29" t="str">
        <f>'Table 1'!A55</f>
        <v>CR-A1A (Dixie Hwy)</v>
      </c>
      <c r="D62" s="29" t="str">
        <f>'Table 1'!B55</f>
        <v>Heritage Blvd</v>
      </c>
      <c r="E62" s="29" t="str">
        <f>'Table 1'!C55</f>
        <v>Cove Rd</v>
      </c>
      <c r="F62" s="44"/>
      <c r="G62" s="44"/>
      <c r="H62" s="44"/>
      <c r="I62" s="44"/>
      <c r="J62" s="44"/>
      <c r="K62" s="29" t="str">
        <f>'Table 1'!D55</f>
        <v>C2</v>
      </c>
      <c r="L62" s="29"/>
      <c r="M62" s="44"/>
      <c r="N62" s="46">
        <f>'Table 1'!E55</f>
        <v>730</v>
      </c>
      <c r="O62" s="44"/>
      <c r="P62" s="44"/>
      <c r="Q62" s="44"/>
      <c r="R62" s="29">
        <f>'Table 1'!F55</f>
        <v>7701</v>
      </c>
      <c r="S62" s="44"/>
      <c r="T62" s="29" t="str">
        <f>'Table 1'!H55</f>
        <v>C</v>
      </c>
      <c r="U62" s="29"/>
      <c r="V62" s="29"/>
      <c r="W62" s="29"/>
      <c r="X62" s="29"/>
      <c r="Y62" s="44"/>
      <c r="Z62" s="44"/>
      <c r="AA62" s="44"/>
      <c r="AB62" s="44"/>
      <c r="AC62" s="44"/>
      <c r="AD62" s="44"/>
      <c r="AE62" s="46">
        <f>'Table 1'!G55</f>
        <v>344</v>
      </c>
      <c r="AF62" s="44"/>
      <c r="AG62" s="44"/>
      <c r="AH62" s="44"/>
      <c r="AI62" s="47">
        <f>'Table 1'!I55*100</f>
        <v>1.9</v>
      </c>
      <c r="AJ62" s="44"/>
      <c r="AK62" s="44"/>
      <c r="AL62" s="44"/>
      <c r="AM62" s="44"/>
    </row>
    <row r="63" spans="2:39" ht="13.8" x14ac:dyDescent="0.25">
      <c r="B63" s="45" t="str">
        <f t="shared" si="0"/>
        <v>CR-A_Cove_Sale</v>
      </c>
      <c r="C63" s="29" t="str">
        <f>'Table 1'!A56</f>
        <v>CR-A1A (Dixie Hwy)</v>
      </c>
      <c r="D63" s="29" t="str">
        <f>'Table 1'!B56</f>
        <v>Cove Rd</v>
      </c>
      <c r="E63" s="29" t="str">
        <f>'Table 1'!C56</f>
        <v>Salerno Rd</v>
      </c>
      <c r="F63" s="44"/>
      <c r="G63" s="44"/>
      <c r="H63" s="44"/>
      <c r="I63" s="44"/>
      <c r="J63" s="44"/>
      <c r="K63" s="29" t="str">
        <f>'Table 1'!D56</f>
        <v>C4</v>
      </c>
      <c r="L63" s="29"/>
      <c r="M63" s="44"/>
      <c r="N63" s="46">
        <f>'Table 1'!E56</f>
        <v>870</v>
      </c>
      <c r="O63" s="44"/>
      <c r="P63" s="44"/>
      <c r="Q63" s="44"/>
      <c r="R63" s="29">
        <f>'Table 1'!F56</f>
        <v>12000</v>
      </c>
      <c r="S63" s="44"/>
      <c r="T63" s="29" t="str">
        <f>'Table 1'!H56</f>
        <v>TCEA</v>
      </c>
      <c r="U63" s="29"/>
      <c r="V63" s="29"/>
      <c r="W63" s="29"/>
      <c r="X63" s="29"/>
      <c r="Y63" s="44"/>
      <c r="Z63" s="44"/>
      <c r="AA63" s="44"/>
      <c r="AB63" s="44"/>
      <c r="AC63" s="44"/>
      <c r="AD63" s="44"/>
      <c r="AE63" s="46">
        <f>'Table 1'!G56</f>
        <v>498</v>
      </c>
      <c r="AF63" s="44"/>
      <c r="AG63" s="44"/>
      <c r="AH63" s="44"/>
      <c r="AI63" s="47">
        <f>'Table 1'!I56*100</f>
        <v>0.5</v>
      </c>
      <c r="AJ63" s="44"/>
      <c r="AK63" s="44"/>
      <c r="AL63" s="44"/>
      <c r="AM63" s="44"/>
    </row>
    <row r="64" spans="2:39" ht="13.8" x14ac:dyDescent="0.25">
      <c r="B64" s="45" t="str">
        <f t="shared" si="0"/>
        <v xml:space="preserve">CR-A_Sale_St. </v>
      </c>
      <c r="C64" s="29" t="str">
        <f>'Table 1'!A57</f>
        <v>CR-A1A (Dixie Hwy)</v>
      </c>
      <c r="D64" s="29" t="str">
        <f>'Table 1'!B57</f>
        <v>Salerno Rd</v>
      </c>
      <c r="E64" s="29" t="str">
        <f>'Table 1'!C57</f>
        <v>St. Lucie Blvd</v>
      </c>
      <c r="F64" s="44"/>
      <c r="G64" s="44"/>
      <c r="H64" s="44"/>
      <c r="I64" s="44"/>
      <c r="J64" s="44"/>
      <c r="K64" s="29" t="str">
        <f>'Table 1'!D57</f>
        <v>C4</v>
      </c>
      <c r="L64" s="29"/>
      <c r="M64" s="44"/>
      <c r="N64" s="46">
        <f>'Table 1'!E57</f>
        <v>870</v>
      </c>
      <c r="O64" s="44"/>
      <c r="P64" s="44"/>
      <c r="Q64" s="44"/>
      <c r="R64" s="29">
        <f>'Table 1'!F57</f>
        <v>16817</v>
      </c>
      <c r="S64" s="44"/>
      <c r="T64" s="29" t="str">
        <f>'Table 1'!H57</f>
        <v>TCEA</v>
      </c>
      <c r="U64" s="29"/>
      <c r="V64" s="29"/>
      <c r="W64" s="29"/>
      <c r="X64" s="29"/>
      <c r="Y64" s="44"/>
      <c r="Z64" s="44"/>
      <c r="AA64" s="44"/>
      <c r="AB64" s="44"/>
      <c r="AC64" s="44"/>
      <c r="AD64" s="44"/>
      <c r="AE64" s="46">
        <f>'Table 1'!G57</f>
        <v>703</v>
      </c>
      <c r="AF64" s="44"/>
      <c r="AG64" s="44"/>
      <c r="AH64" s="44"/>
      <c r="AI64" s="47">
        <f>'Table 1'!I57*100</f>
        <v>0.5</v>
      </c>
      <c r="AJ64" s="44"/>
      <c r="AK64" s="44"/>
      <c r="AL64" s="44"/>
      <c r="AM64" s="44"/>
    </row>
    <row r="65" spans="2:39" ht="13.8" x14ac:dyDescent="0.25">
      <c r="B65" s="45" t="str">
        <f t="shared" si="0"/>
        <v>CR-A_St L_Jeff</v>
      </c>
      <c r="C65" s="29" t="str">
        <f>'Table 1'!A58</f>
        <v>CR-A1A (Dixie Hwy)</v>
      </c>
      <c r="D65" s="29" t="str">
        <f>'Table 1'!B58</f>
        <v>St Lucie Blvd</v>
      </c>
      <c r="E65" s="29" t="str">
        <f>'Table 1'!C58</f>
        <v>Jefferson St</v>
      </c>
      <c r="F65" s="44"/>
      <c r="G65" s="44"/>
      <c r="H65" s="44"/>
      <c r="I65" s="44"/>
      <c r="J65" s="44"/>
      <c r="K65" s="29" t="str">
        <f>'Table 1'!D58</f>
        <v>C3R</v>
      </c>
      <c r="L65" s="29"/>
      <c r="M65" s="44"/>
      <c r="N65" s="46">
        <f>'Table 1'!E58</f>
        <v>890</v>
      </c>
      <c r="O65" s="44"/>
      <c r="P65" s="44"/>
      <c r="Q65" s="44"/>
      <c r="R65" s="29">
        <f>'Table 1'!F58</f>
        <v>13746</v>
      </c>
      <c r="S65" s="44"/>
      <c r="T65" s="29" t="str">
        <f>'Table 1'!H58</f>
        <v>C</v>
      </c>
      <c r="U65" s="29"/>
      <c r="V65" s="29"/>
      <c r="W65" s="29"/>
      <c r="X65" s="29"/>
      <c r="Y65" s="44"/>
      <c r="Z65" s="44"/>
      <c r="AA65" s="44"/>
      <c r="AB65" s="44"/>
      <c r="AC65" s="44"/>
      <c r="AD65" s="44"/>
      <c r="AE65" s="46">
        <f>'Table 1'!G58</f>
        <v>727</v>
      </c>
      <c r="AF65" s="44"/>
      <c r="AG65" s="44"/>
      <c r="AH65" s="44"/>
      <c r="AI65" s="47">
        <f>'Table 1'!I58*100</f>
        <v>0.5</v>
      </c>
      <c r="AJ65" s="44"/>
      <c r="AK65" s="44"/>
      <c r="AL65" s="44"/>
      <c r="AM65" s="44"/>
    </row>
    <row r="66" spans="2:39" ht="13.8" x14ac:dyDescent="0.25">
      <c r="B66" s="45" t="str">
        <f t="shared" si="0"/>
        <v>CR-A_Jeff_Indi</v>
      </c>
      <c r="C66" s="29" t="str">
        <f>'Table 1'!A59</f>
        <v>CR-A1A (Dixie Hwy)</v>
      </c>
      <c r="D66" s="29" t="str">
        <f>'Table 1'!B59</f>
        <v>Jefferson St</v>
      </c>
      <c r="E66" s="29" t="str">
        <f>'Table 1'!C59</f>
        <v>Indian St</v>
      </c>
      <c r="F66" s="44"/>
      <c r="G66" s="44"/>
      <c r="H66" s="44"/>
      <c r="I66" s="44"/>
      <c r="J66" s="44"/>
      <c r="K66" s="29" t="str">
        <f>'Table 1'!D59</f>
        <v>C4</v>
      </c>
      <c r="L66" s="29"/>
      <c r="M66" s="44"/>
      <c r="N66" s="46">
        <f>'Table 1'!E59</f>
        <v>1790</v>
      </c>
      <c r="O66" s="44"/>
      <c r="P66" s="44"/>
      <c r="Q66" s="44"/>
      <c r="R66" s="29">
        <f>'Table 1'!F59</f>
        <v>17816</v>
      </c>
      <c r="S66" s="44"/>
      <c r="T66" s="29" t="str">
        <f>'Table 1'!H59</f>
        <v>TCEA</v>
      </c>
      <c r="U66" s="29"/>
      <c r="V66" s="29"/>
      <c r="W66" s="29"/>
      <c r="X66" s="29"/>
      <c r="Y66" s="44"/>
      <c r="Z66" s="44"/>
      <c r="AA66" s="44"/>
      <c r="AB66" s="44"/>
      <c r="AC66" s="44"/>
      <c r="AD66" s="44"/>
      <c r="AE66" s="46">
        <f>'Table 1'!G59</f>
        <v>781</v>
      </c>
      <c r="AF66" s="44"/>
      <c r="AG66" s="44"/>
      <c r="AH66" s="44"/>
      <c r="AI66" s="47">
        <f>'Table 1'!I59*100</f>
        <v>0.5</v>
      </c>
      <c r="AJ66" s="44"/>
      <c r="AK66" s="44"/>
      <c r="AL66" s="44"/>
      <c r="AM66" s="44"/>
    </row>
    <row r="67" spans="2:39" ht="13.8" x14ac:dyDescent="0.25">
      <c r="B67" s="45" t="str">
        <f t="shared" si="0"/>
        <v>CR-A_Indi_SR-7</v>
      </c>
      <c r="C67" s="29" t="str">
        <f>'Table 1'!A60</f>
        <v>CR-A1A (Dixie Hwy)</v>
      </c>
      <c r="D67" s="29" t="str">
        <f>'Table 1'!B60</f>
        <v>Indian St</v>
      </c>
      <c r="E67" s="29" t="str">
        <f>'Table 1'!C60</f>
        <v>SR-714</v>
      </c>
      <c r="F67" s="44"/>
      <c r="G67" s="44"/>
      <c r="H67" s="44"/>
      <c r="I67" s="44"/>
      <c r="J67" s="44"/>
      <c r="K67" s="29" t="str">
        <f>'Table 1'!D60</f>
        <v>C3C</v>
      </c>
      <c r="L67" s="29"/>
      <c r="M67" s="44"/>
      <c r="N67" s="46">
        <f>'Table 1'!E60</f>
        <v>1810</v>
      </c>
      <c r="O67" s="44"/>
      <c r="P67" s="44"/>
      <c r="Q67" s="44"/>
      <c r="R67" s="29">
        <f>'Table 1'!F60</f>
        <v>16596</v>
      </c>
      <c r="S67" s="44"/>
      <c r="T67" s="29" t="str">
        <f>'Table 1'!H60</f>
        <v>C</v>
      </c>
      <c r="U67" s="29"/>
      <c r="V67" s="29"/>
      <c r="W67" s="29"/>
      <c r="X67" s="29"/>
      <c r="Y67" s="44"/>
      <c r="Z67" s="44"/>
      <c r="AA67" s="44"/>
      <c r="AB67" s="44"/>
      <c r="AC67" s="44"/>
      <c r="AD67" s="44"/>
      <c r="AE67" s="46">
        <f>'Table 1'!G60</f>
        <v>858</v>
      </c>
      <c r="AF67" s="44"/>
      <c r="AG67" s="44"/>
      <c r="AH67" s="44"/>
      <c r="AI67" s="47">
        <f>'Table 1'!I60*100</f>
        <v>0.5</v>
      </c>
      <c r="AJ67" s="44"/>
      <c r="AK67" s="44"/>
      <c r="AL67" s="44"/>
      <c r="AM67" s="44"/>
    </row>
    <row r="68" spans="2:39" ht="13.8" x14ac:dyDescent="0.25">
      <c r="B68" s="45" t="str">
        <f t="shared" si="0"/>
        <v>CR-A_SR-7_SE F</v>
      </c>
      <c r="C68" s="29" t="str">
        <f>'Table 1'!A61</f>
        <v>CR-A1A (Dixie Hwy)</v>
      </c>
      <c r="D68" s="29" t="str">
        <f>'Table 1'!B61</f>
        <v>SR-714</v>
      </c>
      <c r="E68" s="29" t="str">
        <f>'Table 1'!C61</f>
        <v>SE Fifth St</v>
      </c>
      <c r="F68" s="44"/>
      <c r="G68" s="44"/>
      <c r="H68" s="44"/>
      <c r="I68" s="44"/>
      <c r="J68" s="44"/>
      <c r="K68" s="29" t="str">
        <f>'Table 1'!D61</f>
        <v>C4</v>
      </c>
      <c r="L68" s="29"/>
      <c r="M68" s="44"/>
      <c r="N68" s="46">
        <f>'Table 1'!E61</f>
        <v>870</v>
      </c>
      <c r="O68" s="44"/>
      <c r="P68" s="44"/>
      <c r="Q68" s="44"/>
      <c r="R68" s="29">
        <f>'Table 1'!F61</f>
        <v>6220</v>
      </c>
      <c r="S68" s="44"/>
      <c r="T68" s="29" t="str">
        <f>'Table 1'!H61</f>
        <v>D</v>
      </c>
      <c r="U68" s="29"/>
      <c r="V68" s="29"/>
      <c r="W68" s="29"/>
      <c r="X68" s="29"/>
      <c r="Y68" s="44"/>
      <c r="Z68" s="44"/>
      <c r="AA68" s="44"/>
      <c r="AB68" s="44"/>
      <c r="AC68" s="44"/>
      <c r="AD68" s="44"/>
      <c r="AE68" s="46">
        <f>'Table 1'!G61</f>
        <v>346</v>
      </c>
      <c r="AF68" s="44"/>
      <c r="AG68" s="44"/>
      <c r="AH68" s="44"/>
      <c r="AI68" s="47">
        <f>'Table 1'!I61*100</f>
        <v>0.5</v>
      </c>
      <c r="AJ68" s="44"/>
      <c r="AK68" s="44"/>
      <c r="AL68" s="44"/>
      <c r="AM68" s="44"/>
    </row>
    <row r="69" spans="2:39" ht="13.8" x14ac:dyDescent="0.25">
      <c r="B69" s="45" t="str">
        <f t="shared" si="0"/>
        <v>Farm_Dr M_Palm</v>
      </c>
      <c r="C69" s="29" t="str">
        <f>'Table 1'!A62</f>
        <v>Farm Rd</v>
      </c>
      <c r="D69" s="29" t="str">
        <f>'Table 1'!B62</f>
        <v>Dr Martin Luther King Jr Dr</v>
      </c>
      <c r="E69" s="29" t="str">
        <f>'Table 1'!C62</f>
        <v>Palm Wy</v>
      </c>
      <c r="F69" s="44"/>
      <c r="G69" s="44"/>
      <c r="H69" s="44"/>
      <c r="I69" s="44"/>
      <c r="J69" s="44"/>
      <c r="K69" s="29" t="str">
        <f>'Table 1'!D62</f>
        <v>C3C</v>
      </c>
      <c r="L69" s="29"/>
      <c r="M69" s="44"/>
      <c r="N69" s="46">
        <f>'Table 1'!E62</f>
        <v>855</v>
      </c>
      <c r="O69" s="44"/>
      <c r="P69" s="44"/>
      <c r="Q69" s="44"/>
      <c r="R69" s="29">
        <f>'Table 1'!F62</f>
        <v>3396</v>
      </c>
      <c r="S69" s="44"/>
      <c r="T69" s="29" t="str">
        <f>'Table 1'!H62</f>
        <v>C</v>
      </c>
      <c r="U69" s="29"/>
      <c r="V69" s="29"/>
      <c r="W69" s="29"/>
      <c r="X69" s="29"/>
      <c r="Y69" s="44"/>
      <c r="Z69" s="44"/>
      <c r="AA69" s="44"/>
      <c r="AB69" s="44"/>
      <c r="AC69" s="44"/>
      <c r="AD69" s="44"/>
      <c r="AE69" s="46">
        <f>'Table 1'!G62</f>
        <v>141</v>
      </c>
      <c r="AF69" s="44"/>
      <c r="AG69" s="44"/>
      <c r="AH69" s="44"/>
      <c r="AI69" s="47">
        <f>'Table 1'!I62*100</f>
        <v>4.8</v>
      </c>
      <c r="AJ69" s="44"/>
      <c r="AK69" s="44"/>
      <c r="AL69" s="44"/>
      <c r="AM69" s="44"/>
    </row>
    <row r="70" spans="2:39" ht="13.8" x14ac:dyDescent="0.25">
      <c r="B70" s="45" t="str">
        <f t="shared" si="0"/>
        <v>Fox _SR-7_CR-7</v>
      </c>
      <c r="C70" s="29" t="str">
        <f>'Table 1'!A63</f>
        <v>Fox Brown Rd</v>
      </c>
      <c r="D70" s="29" t="str">
        <f>'Table 1'!B63</f>
        <v>SR-710</v>
      </c>
      <c r="E70" s="29" t="str">
        <f>'Table 1'!C63</f>
        <v>CR-714</v>
      </c>
      <c r="F70" s="44"/>
      <c r="G70" s="44"/>
      <c r="H70" s="44"/>
      <c r="I70" s="44"/>
      <c r="J70" s="44"/>
      <c r="K70" s="29" t="str">
        <f>'Table 1'!D63</f>
        <v>C2</v>
      </c>
      <c r="L70" s="29"/>
      <c r="M70" s="44"/>
      <c r="N70" s="46">
        <f>'Table 1'!E63</f>
        <v>730</v>
      </c>
      <c r="O70" s="44"/>
      <c r="P70" s="44"/>
      <c r="Q70" s="44"/>
      <c r="R70" s="29">
        <f>'Table 1'!F63</f>
        <v>425</v>
      </c>
      <c r="S70" s="44"/>
      <c r="T70" s="29" t="str">
        <f>'Table 1'!H63</f>
        <v>A/B</v>
      </c>
      <c r="U70" s="29"/>
      <c r="V70" s="29"/>
      <c r="W70" s="29"/>
      <c r="X70" s="29"/>
      <c r="Y70" s="44"/>
      <c r="Z70" s="44"/>
      <c r="AA70" s="44"/>
      <c r="AB70" s="44"/>
      <c r="AC70" s="44"/>
      <c r="AD70" s="44"/>
      <c r="AE70" s="46">
        <f>'Table 1'!G63</f>
        <v>26</v>
      </c>
      <c r="AF70" s="44"/>
      <c r="AG70" s="44"/>
      <c r="AH70" s="44"/>
      <c r="AI70" s="47">
        <f>'Table 1'!I63*100</f>
        <v>5.2</v>
      </c>
      <c r="AJ70" s="44"/>
      <c r="AK70" s="44"/>
      <c r="AL70" s="44"/>
      <c r="AM70" s="44"/>
    </row>
    <row r="71" spans="2:39" ht="13.8" x14ac:dyDescent="0.25">
      <c r="B71" s="45" t="str">
        <f t="shared" si="0"/>
        <v>Gold_Brit_SR-7</v>
      </c>
      <c r="C71" s="29" t="str">
        <f>'Table 1'!A64</f>
        <v>Goldenrod Rd</v>
      </c>
      <c r="D71" s="29" t="str">
        <f>'Table 1'!B64</f>
        <v>Britt Rd</v>
      </c>
      <c r="E71" s="29" t="str">
        <f>'Table 1'!C64</f>
        <v>SR-732</v>
      </c>
      <c r="F71" s="44"/>
      <c r="G71" s="44"/>
      <c r="H71" s="44"/>
      <c r="I71" s="44"/>
      <c r="J71" s="44"/>
      <c r="K71" s="29" t="str">
        <f>'Table 1'!D64</f>
        <v>C3C</v>
      </c>
      <c r="L71" s="29"/>
      <c r="M71" s="44"/>
      <c r="N71" s="46">
        <f>'Table 1'!E64</f>
        <v>1810</v>
      </c>
      <c r="O71" s="44"/>
      <c r="P71" s="44"/>
      <c r="Q71" s="44"/>
      <c r="R71" s="29">
        <f>'Table 1'!F64</f>
        <v>4960</v>
      </c>
      <c r="S71" s="44"/>
      <c r="T71" s="29" t="str">
        <f>'Table 1'!H64</f>
        <v>C</v>
      </c>
      <c r="U71" s="29"/>
      <c r="V71" s="29"/>
      <c r="W71" s="29"/>
      <c r="X71" s="29"/>
      <c r="Y71" s="44"/>
      <c r="Z71" s="44"/>
      <c r="AA71" s="44"/>
      <c r="AB71" s="44"/>
      <c r="AC71" s="44"/>
      <c r="AD71" s="44"/>
      <c r="AE71" s="46">
        <f>'Table 1'!G64</f>
        <v>281</v>
      </c>
      <c r="AF71" s="44"/>
      <c r="AG71" s="44"/>
      <c r="AH71" s="44"/>
      <c r="AI71" s="47">
        <f>'Table 1'!I64*100</f>
        <v>0.8</v>
      </c>
      <c r="AJ71" s="44"/>
      <c r="AK71" s="44"/>
      <c r="AL71" s="44"/>
      <c r="AM71" s="44"/>
    </row>
    <row r="72" spans="2:39" ht="13.8" x14ac:dyDescent="0.25">
      <c r="B72" s="45" t="str">
        <f t="shared" si="0"/>
        <v>Gold_SR-7_SR-5</v>
      </c>
      <c r="C72" s="29" t="str">
        <f>'Table 1'!A65</f>
        <v>Goldenrod Rd</v>
      </c>
      <c r="D72" s="29" t="str">
        <f>'Table 1'!B65</f>
        <v>SR-732</v>
      </c>
      <c r="E72" s="29" t="str">
        <f>'Table 1'!C65</f>
        <v>SR-5</v>
      </c>
      <c r="F72" s="44"/>
      <c r="G72" s="44"/>
      <c r="H72" s="44"/>
      <c r="I72" s="44"/>
      <c r="J72" s="44"/>
      <c r="K72" s="29" t="str">
        <f>'Table 1'!D65</f>
        <v>C3C</v>
      </c>
      <c r="L72" s="29"/>
      <c r="M72" s="44"/>
      <c r="N72" s="46">
        <f>'Table 1'!E65</f>
        <v>1125</v>
      </c>
      <c r="O72" s="44"/>
      <c r="P72" s="44"/>
      <c r="Q72" s="44"/>
      <c r="R72" s="29">
        <f>'Table 1'!F65</f>
        <v>6621</v>
      </c>
      <c r="S72" s="44"/>
      <c r="T72" s="29" t="str">
        <f>'Table 1'!H65</f>
        <v>C</v>
      </c>
      <c r="U72" s="29"/>
      <c r="V72" s="29"/>
      <c r="W72" s="29"/>
      <c r="X72" s="29"/>
      <c r="Y72" s="44"/>
      <c r="Z72" s="44"/>
      <c r="AA72" s="44"/>
      <c r="AB72" s="44"/>
      <c r="AC72" s="44"/>
      <c r="AD72" s="44"/>
      <c r="AE72" s="46">
        <f>'Table 1'!G65</f>
        <v>342</v>
      </c>
      <c r="AF72" s="44"/>
      <c r="AG72" s="44"/>
      <c r="AH72" s="44"/>
      <c r="AI72" s="47">
        <f>'Table 1'!I65*100</f>
        <v>0.5</v>
      </c>
      <c r="AJ72" s="44"/>
      <c r="AK72" s="44"/>
      <c r="AL72" s="44"/>
      <c r="AM72" s="44"/>
    </row>
    <row r="73" spans="2:39" ht="13.8" x14ac:dyDescent="0.25">
      <c r="B73" s="45" t="str">
        <f t="shared" si="0"/>
        <v>Gold_SR-5_West</v>
      </c>
      <c r="C73" s="29" t="str">
        <f>'Table 1'!A66</f>
        <v>Goldenrod Rd</v>
      </c>
      <c r="D73" s="29" t="str">
        <f>'Table 1'!B66</f>
        <v>SR-5</v>
      </c>
      <c r="E73" s="29" t="str">
        <f>'Table 1'!C66</f>
        <v>Westmoreland Blvd</v>
      </c>
      <c r="F73" s="44"/>
      <c r="G73" s="44"/>
      <c r="H73" s="44"/>
      <c r="I73" s="44"/>
      <c r="J73" s="44"/>
      <c r="K73" s="29" t="str">
        <f>'Table 1'!D66</f>
        <v>C3C</v>
      </c>
      <c r="L73" s="29"/>
      <c r="M73" s="44"/>
      <c r="N73" s="46">
        <f>'Table 1'!E66</f>
        <v>1070</v>
      </c>
      <c r="O73" s="44"/>
      <c r="P73" s="44"/>
      <c r="Q73" s="44"/>
      <c r="R73" s="29">
        <f>'Table 1'!F66</f>
        <v>4795</v>
      </c>
      <c r="S73" s="44"/>
      <c r="T73" s="29" t="str">
        <f>'Table 1'!H66</f>
        <v>C</v>
      </c>
      <c r="U73" s="29"/>
      <c r="V73" s="29"/>
      <c r="W73" s="29"/>
      <c r="X73" s="29"/>
      <c r="Y73" s="44"/>
      <c r="Z73" s="44"/>
      <c r="AA73" s="44"/>
      <c r="AB73" s="44"/>
      <c r="AC73" s="44"/>
      <c r="AD73" s="44"/>
      <c r="AE73" s="46">
        <f>'Table 1'!G66</f>
        <v>245</v>
      </c>
      <c r="AF73" s="44"/>
      <c r="AG73" s="44"/>
      <c r="AH73" s="44"/>
      <c r="AI73" s="47">
        <f>'Table 1'!I66*100</f>
        <v>0.89999999999999991</v>
      </c>
      <c r="AJ73" s="44"/>
      <c r="AK73" s="44"/>
      <c r="AL73" s="44"/>
      <c r="AM73" s="44"/>
    </row>
    <row r="74" spans="2:39" ht="13.8" x14ac:dyDescent="0.25">
      <c r="B74" s="45" t="str">
        <f t="shared" ref="B74:B137" si="1">LEFT(C74,4) &amp; "_" &amp; LEFT(D74,4) &amp; "_" &amp; LEFT(E74,4)</f>
        <v>Gome_CR-7_Cros</v>
      </c>
      <c r="C74" s="29" t="str">
        <f>'Table 1'!A67</f>
        <v>Gomez Ave</v>
      </c>
      <c r="D74" s="29" t="str">
        <f>'Table 1'!B67</f>
        <v>CR-708</v>
      </c>
      <c r="E74" s="29" t="str">
        <f>'Table 1'!C67</f>
        <v>Crossrip St</v>
      </c>
      <c r="F74" s="44"/>
      <c r="G74" s="44"/>
      <c r="H74" s="44"/>
      <c r="I74" s="44"/>
      <c r="J74" s="44"/>
      <c r="K74" s="29" t="str">
        <f>'Table 1'!D67</f>
        <v>C3R</v>
      </c>
      <c r="L74" s="29"/>
      <c r="M74" s="44"/>
      <c r="N74" s="46">
        <f>'Table 1'!E67</f>
        <v>1110</v>
      </c>
      <c r="O74" s="44"/>
      <c r="P74" s="44"/>
      <c r="Q74" s="44"/>
      <c r="R74" s="29">
        <f>'Table 1'!F67</f>
        <v>3565</v>
      </c>
      <c r="S74" s="44"/>
      <c r="T74" s="29" t="str">
        <f>'Table 1'!H67</f>
        <v>C</v>
      </c>
      <c r="U74" s="29"/>
      <c r="V74" s="29"/>
      <c r="W74" s="29"/>
      <c r="X74" s="29"/>
      <c r="Y74" s="44"/>
      <c r="Z74" s="44"/>
      <c r="AA74" s="44"/>
      <c r="AB74" s="44"/>
      <c r="AC74" s="44"/>
      <c r="AD74" s="44"/>
      <c r="AE74" s="46">
        <f>'Table 1'!G67</f>
        <v>156</v>
      </c>
      <c r="AF74" s="44"/>
      <c r="AG74" s="44"/>
      <c r="AH74" s="44"/>
      <c r="AI74" s="47">
        <f>'Table 1'!I67*100</f>
        <v>0.5</v>
      </c>
      <c r="AJ74" s="44"/>
      <c r="AK74" s="44"/>
      <c r="AL74" s="44"/>
      <c r="AM74" s="44"/>
    </row>
    <row r="75" spans="2:39" ht="13.8" x14ac:dyDescent="0.25">
      <c r="B75" s="45" t="str">
        <f t="shared" si="1"/>
        <v>Gome_Cros_Ospr</v>
      </c>
      <c r="C75" s="29" t="str">
        <f>'Table 1'!A68</f>
        <v>Gomez Ave</v>
      </c>
      <c r="D75" s="29" t="str">
        <f>'Table 1'!B68</f>
        <v>Crossrip St</v>
      </c>
      <c r="E75" s="29" t="str">
        <f>'Table 1'!C68</f>
        <v>Osprey St</v>
      </c>
      <c r="F75" s="44"/>
      <c r="G75" s="44"/>
      <c r="H75" s="44"/>
      <c r="I75" s="44"/>
      <c r="J75" s="44"/>
      <c r="K75" s="29" t="str">
        <f>'Table 1'!D68</f>
        <v>C3R</v>
      </c>
      <c r="L75" s="29"/>
      <c r="M75" s="44"/>
      <c r="N75" s="46">
        <f>'Table 1'!E68</f>
        <v>1110</v>
      </c>
      <c r="O75" s="44"/>
      <c r="P75" s="44"/>
      <c r="Q75" s="44"/>
      <c r="R75" s="29">
        <f>'Table 1'!F68</f>
        <v>1211</v>
      </c>
      <c r="S75" s="44"/>
      <c r="T75" s="29" t="str">
        <f>'Table 1'!H68</f>
        <v>C</v>
      </c>
      <c r="U75" s="29"/>
      <c r="V75" s="29"/>
      <c r="W75" s="29"/>
      <c r="X75" s="29"/>
      <c r="Y75" s="44"/>
      <c r="Z75" s="44"/>
      <c r="AA75" s="44"/>
      <c r="AB75" s="44"/>
      <c r="AC75" s="44"/>
      <c r="AD75" s="44"/>
      <c r="AE75" s="46">
        <f>'Table 1'!G68</f>
        <v>58</v>
      </c>
      <c r="AF75" s="44"/>
      <c r="AG75" s="44"/>
      <c r="AH75" s="44"/>
      <c r="AI75" s="47">
        <f>'Table 1'!I68*100</f>
        <v>3.3000000000000003</v>
      </c>
      <c r="AJ75" s="44"/>
      <c r="AK75" s="44"/>
      <c r="AL75" s="44"/>
      <c r="AM75" s="44"/>
    </row>
    <row r="76" spans="2:39" ht="13.8" x14ac:dyDescent="0.25">
      <c r="B76" s="45" t="str">
        <f t="shared" si="1"/>
        <v>Gree_Dixi_Bake</v>
      </c>
      <c r="C76" s="29" t="str">
        <f>'Table 1'!A69</f>
        <v>Green River Parkway</v>
      </c>
      <c r="D76" s="29" t="str">
        <f>'Table 1'!B69</f>
        <v>Dixie Hwy</v>
      </c>
      <c r="E76" s="29" t="str">
        <f>'Table 1'!C69</f>
        <v>Baker Rd</v>
      </c>
      <c r="F76" s="44"/>
      <c r="G76" s="44"/>
      <c r="H76" s="44"/>
      <c r="I76" s="44"/>
      <c r="J76" s="44"/>
      <c r="K76" s="29" t="str">
        <f>'Table 1'!D69</f>
        <v>C3R</v>
      </c>
      <c r="L76" s="29"/>
      <c r="M76" s="44"/>
      <c r="N76" s="46">
        <f>'Table 1'!E69</f>
        <v>890</v>
      </c>
      <c r="O76" s="44"/>
      <c r="P76" s="44"/>
      <c r="Q76" s="44"/>
      <c r="R76" s="29">
        <f>'Table 1'!F69</f>
        <v>8789</v>
      </c>
      <c r="S76" s="44"/>
      <c r="T76" s="29" t="str">
        <f>'Table 1'!H69</f>
        <v>C</v>
      </c>
      <c r="U76" s="29"/>
      <c r="V76" s="29"/>
      <c r="W76" s="29"/>
      <c r="X76" s="29"/>
      <c r="Y76" s="44"/>
      <c r="Z76" s="44"/>
      <c r="AA76" s="44"/>
      <c r="AB76" s="44"/>
      <c r="AC76" s="44"/>
      <c r="AD76" s="44"/>
      <c r="AE76" s="46">
        <f>'Table 1'!G69</f>
        <v>479</v>
      </c>
      <c r="AF76" s="44"/>
      <c r="AG76" s="44"/>
      <c r="AH76" s="44"/>
      <c r="AI76" s="47">
        <f>'Table 1'!I69*100</f>
        <v>6.5</v>
      </c>
      <c r="AJ76" s="44"/>
      <c r="AK76" s="44"/>
      <c r="AL76" s="44"/>
      <c r="AM76" s="44"/>
    </row>
    <row r="77" spans="2:39" ht="13.8" x14ac:dyDescent="0.25">
      <c r="B77" s="45" t="str">
        <f t="shared" si="1"/>
        <v>Gree_Bake_SR-7</v>
      </c>
      <c r="C77" s="29" t="str">
        <f>'Table 1'!A70</f>
        <v>Green River Parkway</v>
      </c>
      <c r="D77" s="29" t="str">
        <f>'Table 1'!B70</f>
        <v>Baker Rd</v>
      </c>
      <c r="E77" s="29" t="str">
        <f>'Table 1'!C70</f>
        <v>SR-732</v>
      </c>
      <c r="F77" s="44"/>
      <c r="G77" s="44"/>
      <c r="H77" s="44"/>
      <c r="I77" s="44"/>
      <c r="J77" s="44"/>
      <c r="K77" s="29" t="str">
        <f>'Table 1'!D70</f>
        <v>C3R</v>
      </c>
      <c r="L77" s="29"/>
      <c r="M77" s="44"/>
      <c r="N77" s="46">
        <f>'Table 1'!E70</f>
        <v>1110</v>
      </c>
      <c r="O77" s="44"/>
      <c r="P77" s="44"/>
      <c r="Q77" s="44"/>
      <c r="R77" s="29">
        <f>'Table 1'!F70</f>
        <v>9706</v>
      </c>
      <c r="S77" s="44"/>
      <c r="T77" s="29" t="str">
        <f>'Table 1'!H70</f>
        <v>C</v>
      </c>
      <c r="U77" s="29"/>
      <c r="V77" s="29"/>
      <c r="W77" s="29"/>
      <c r="X77" s="29"/>
      <c r="Y77" s="44"/>
      <c r="Z77" s="44"/>
      <c r="AA77" s="44"/>
      <c r="AB77" s="44"/>
      <c r="AC77" s="44"/>
      <c r="AD77" s="44"/>
      <c r="AE77" s="46">
        <f>'Table 1'!G70</f>
        <v>671</v>
      </c>
      <c r="AF77" s="44"/>
      <c r="AG77" s="44"/>
      <c r="AH77" s="44"/>
      <c r="AI77" s="47">
        <f>'Table 1'!I70*100</f>
        <v>3.9</v>
      </c>
      <c r="AJ77" s="44"/>
      <c r="AK77" s="44"/>
      <c r="AL77" s="44"/>
      <c r="AM77" s="44"/>
    </row>
    <row r="78" spans="2:39" ht="13.8" x14ac:dyDescent="0.25">
      <c r="B78" s="45" t="str">
        <f t="shared" si="1"/>
        <v xml:space="preserve">Gree_SR-7_St. </v>
      </c>
      <c r="C78" s="29" t="str">
        <f>'Table 1'!A71</f>
        <v>Green River Parkway</v>
      </c>
      <c r="D78" s="29" t="str">
        <f>'Table 1'!B71</f>
        <v>SR-732</v>
      </c>
      <c r="E78" s="29" t="str">
        <f>'Table 1'!C71</f>
        <v>St. Lucie County</v>
      </c>
      <c r="F78" s="44"/>
      <c r="G78" s="44"/>
      <c r="H78" s="44"/>
      <c r="I78" s="44"/>
      <c r="J78" s="44"/>
      <c r="K78" s="29" t="str">
        <f>'Table 1'!D71</f>
        <v>C2</v>
      </c>
      <c r="L78" s="29"/>
      <c r="M78" s="44"/>
      <c r="N78" s="46">
        <f>'Table 1'!E71</f>
        <v>730</v>
      </c>
      <c r="O78" s="44"/>
      <c r="P78" s="44"/>
      <c r="Q78" s="44"/>
      <c r="R78" s="29">
        <f>'Table 1'!F71</f>
        <v>10443</v>
      </c>
      <c r="S78" s="44"/>
      <c r="T78" s="29" t="str">
        <f>'Table 1'!H71</f>
        <v>D</v>
      </c>
      <c r="U78" s="29"/>
      <c r="V78" s="29"/>
      <c r="W78" s="29"/>
      <c r="X78" s="29"/>
      <c r="Y78" s="44"/>
      <c r="Z78" s="44"/>
      <c r="AA78" s="44"/>
      <c r="AB78" s="44"/>
      <c r="AC78" s="44"/>
      <c r="AD78" s="44"/>
      <c r="AE78" s="46">
        <f>'Table 1'!G71</f>
        <v>572</v>
      </c>
      <c r="AF78" s="44"/>
      <c r="AG78" s="44"/>
      <c r="AH78" s="44"/>
      <c r="AI78" s="47">
        <f>'Table 1'!I71*100</f>
        <v>4.8</v>
      </c>
      <c r="AJ78" s="44"/>
      <c r="AK78" s="44"/>
      <c r="AL78" s="44"/>
      <c r="AM78" s="44"/>
    </row>
    <row r="79" spans="2:39" ht="13.8" x14ac:dyDescent="0.25">
      <c r="B79" s="45" t="str">
        <f t="shared" si="1"/>
        <v>Hors_CR-A_Kubi</v>
      </c>
      <c r="C79" s="29" t="str">
        <f>'Table 1'!A72</f>
        <v>Horseshoe Point Rd</v>
      </c>
      <c r="D79" s="29" t="str">
        <f>'Table 1'!B72</f>
        <v>CR-A1A</v>
      </c>
      <c r="E79" s="29" t="str">
        <f>'Table 1'!C72</f>
        <v>Kubin Ave</v>
      </c>
      <c r="F79" s="44"/>
      <c r="G79" s="44"/>
      <c r="H79" s="44"/>
      <c r="I79" s="44"/>
      <c r="J79" s="44"/>
      <c r="K79" s="29" t="str">
        <f>'Table 1'!D72</f>
        <v>C4</v>
      </c>
      <c r="L79" s="29"/>
      <c r="M79" s="44"/>
      <c r="N79" s="46">
        <f>'Table 1'!E72</f>
        <v>695</v>
      </c>
      <c r="O79" s="44"/>
      <c r="P79" s="44"/>
      <c r="Q79" s="44"/>
      <c r="R79" s="29">
        <f>'Table 1'!F72</f>
        <v>5457</v>
      </c>
      <c r="S79" s="44"/>
      <c r="T79" s="29" t="str">
        <f>'Table 1'!H72</f>
        <v>D</v>
      </c>
      <c r="U79" s="29"/>
      <c r="V79" s="29"/>
      <c r="W79" s="29"/>
      <c r="X79" s="29"/>
      <c r="Y79" s="44"/>
      <c r="Z79" s="44"/>
      <c r="AA79" s="44"/>
      <c r="AB79" s="44"/>
      <c r="AC79" s="44"/>
      <c r="AD79" s="44"/>
      <c r="AE79" s="46">
        <f>'Table 1'!G72</f>
        <v>228</v>
      </c>
      <c r="AF79" s="44"/>
      <c r="AG79" s="44"/>
      <c r="AH79" s="44"/>
      <c r="AI79" s="47">
        <f>'Table 1'!I72*100</f>
        <v>0.5</v>
      </c>
      <c r="AJ79" s="44"/>
      <c r="AK79" s="44"/>
      <c r="AL79" s="44"/>
      <c r="AM79" s="44"/>
    </row>
    <row r="80" spans="2:39" ht="13.8" x14ac:dyDescent="0.25">
      <c r="B80" s="45" t="str">
        <f t="shared" si="1"/>
        <v>Indi_SR-7_Will</v>
      </c>
      <c r="C80" s="29" t="str">
        <f>'Table 1'!A73</f>
        <v>Indian St</v>
      </c>
      <c r="D80" s="29" t="str">
        <f>'Table 1'!B73</f>
        <v>SR-76</v>
      </c>
      <c r="E80" s="29" t="str">
        <f>'Table 1'!C73</f>
        <v>Willoughby Blvd</v>
      </c>
      <c r="F80" s="44"/>
      <c r="G80" s="44"/>
      <c r="H80" s="44"/>
      <c r="I80" s="44"/>
      <c r="J80" s="44"/>
      <c r="K80" s="29" t="str">
        <f>'Table 1'!D73</f>
        <v>C3C</v>
      </c>
      <c r="L80" s="29"/>
      <c r="M80" s="44"/>
      <c r="N80" s="46">
        <f>'Table 1'!E73</f>
        <v>1900</v>
      </c>
      <c r="O80" s="44"/>
      <c r="P80" s="44"/>
      <c r="Q80" s="44"/>
      <c r="R80" s="29">
        <f>'Table 1'!F73</f>
        <v>31136</v>
      </c>
      <c r="S80" s="44"/>
      <c r="T80" s="29" t="str">
        <f>'Table 1'!H73</f>
        <v>D</v>
      </c>
      <c r="U80" s="29"/>
      <c r="V80" s="29"/>
      <c r="W80" s="29"/>
      <c r="X80" s="29"/>
      <c r="Y80" s="44"/>
      <c r="Z80" s="44"/>
      <c r="AA80" s="44"/>
      <c r="AB80" s="44"/>
      <c r="AC80" s="44"/>
      <c r="AD80" s="44"/>
      <c r="AE80" s="46">
        <f>'Table 1'!G73</f>
        <v>1788</v>
      </c>
      <c r="AF80" s="44"/>
      <c r="AG80" s="44"/>
      <c r="AH80" s="44"/>
      <c r="AI80" s="47">
        <f>'Table 1'!I73*100</f>
        <v>1.5</v>
      </c>
      <c r="AJ80" s="44"/>
      <c r="AK80" s="44"/>
      <c r="AL80" s="44"/>
      <c r="AM80" s="44"/>
    </row>
    <row r="81" spans="2:39" ht="13.8" x14ac:dyDescent="0.25">
      <c r="B81" s="45" t="str">
        <f t="shared" si="1"/>
        <v>Indi_Will_SR-5</v>
      </c>
      <c r="C81" s="29" t="str">
        <f>'Table 1'!A74</f>
        <v>Indian St</v>
      </c>
      <c r="D81" s="29" t="str">
        <f>'Table 1'!B74</f>
        <v>Willoughby Blvd</v>
      </c>
      <c r="E81" s="29" t="str">
        <f>'Table 1'!C74</f>
        <v>SR-5</v>
      </c>
      <c r="F81" s="44"/>
      <c r="G81" s="44"/>
      <c r="H81" s="44"/>
      <c r="I81" s="44"/>
      <c r="J81" s="44"/>
      <c r="K81" s="29" t="str">
        <f>'Table 1'!D74</f>
        <v>C3C</v>
      </c>
      <c r="L81" s="29"/>
      <c r="M81" s="44"/>
      <c r="N81" s="46">
        <f>'Table 1'!E74</f>
        <v>1900</v>
      </c>
      <c r="O81" s="44"/>
      <c r="P81" s="44"/>
      <c r="Q81" s="44"/>
      <c r="R81" s="29">
        <f>'Table 1'!F74</f>
        <v>30177</v>
      </c>
      <c r="S81" s="44"/>
      <c r="T81" s="29" t="str">
        <f>'Table 1'!H74</f>
        <v>C</v>
      </c>
      <c r="U81" s="29"/>
      <c r="V81" s="29"/>
      <c r="W81" s="29"/>
      <c r="X81" s="29"/>
      <c r="Y81" s="44"/>
      <c r="Z81" s="44"/>
      <c r="AA81" s="44"/>
      <c r="AB81" s="44"/>
      <c r="AC81" s="44"/>
      <c r="AD81" s="44"/>
      <c r="AE81" s="46">
        <f>'Table 1'!G74</f>
        <v>1295</v>
      </c>
      <c r="AF81" s="44"/>
      <c r="AG81" s="44"/>
      <c r="AH81" s="44"/>
      <c r="AI81" s="47">
        <f>'Table 1'!I74*100</f>
        <v>2</v>
      </c>
      <c r="AJ81" s="44"/>
      <c r="AK81" s="44"/>
      <c r="AL81" s="44"/>
      <c r="AM81" s="44"/>
    </row>
    <row r="82" spans="2:39" ht="13.8" x14ac:dyDescent="0.25">
      <c r="B82" s="45" t="str">
        <f t="shared" si="1"/>
        <v>Indi_SR-5_Comm</v>
      </c>
      <c r="C82" s="29" t="str">
        <f>'Table 1'!A75</f>
        <v>Indian St</v>
      </c>
      <c r="D82" s="29" t="str">
        <f>'Table 1'!B75</f>
        <v>SR-5</v>
      </c>
      <c r="E82" s="29" t="str">
        <f>'Table 1'!C75</f>
        <v>Commerce Ave</v>
      </c>
      <c r="F82" s="44"/>
      <c r="G82" s="44"/>
      <c r="H82" s="44"/>
      <c r="I82" s="44"/>
      <c r="J82" s="44"/>
      <c r="K82" s="29" t="str">
        <f>'Table 1'!D75</f>
        <v>C4</v>
      </c>
      <c r="L82" s="29"/>
      <c r="M82" s="44"/>
      <c r="N82" s="46">
        <f>'Table 1'!E75</f>
        <v>1790</v>
      </c>
      <c r="O82" s="44"/>
      <c r="P82" s="44"/>
      <c r="Q82" s="44"/>
      <c r="R82" s="29">
        <f>'Table 1'!F75</f>
        <v>24486</v>
      </c>
      <c r="S82" s="44"/>
      <c r="T82" s="29" t="str">
        <f>'Table 1'!H75</f>
        <v>C</v>
      </c>
      <c r="U82" s="29"/>
      <c r="V82" s="29"/>
      <c r="W82" s="29"/>
      <c r="X82" s="29"/>
      <c r="Y82" s="44"/>
      <c r="Z82" s="44"/>
      <c r="AA82" s="44"/>
      <c r="AB82" s="44"/>
      <c r="AC82" s="44"/>
      <c r="AD82" s="44"/>
      <c r="AE82" s="46">
        <f>'Table 1'!G75</f>
        <v>1071</v>
      </c>
      <c r="AF82" s="44"/>
      <c r="AG82" s="44"/>
      <c r="AH82" s="44"/>
      <c r="AI82" s="47">
        <f>'Table 1'!I75*100</f>
        <v>2.2999999999999998</v>
      </c>
      <c r="AJ82" s="44"/>
      <c r="AK82" s="44"/>
      <c r="AL82" s="44"/>
      <c r="AM82" s="44"/>
    </row>
    <row r="83" spans="2:39" ht="13.8" x14ac:dyDescent="0.25">
      <c r="B83" s="45" t="str">
        <f t="shared" si="1"/>
        <v>Indi_Comm_CR-A</v>
      </c>
      <c r="C83" s="29" t="str">
        <f>'Table 1'!A76</f>
        <v>Indian St</v>
      </c>
      <c r="D83" s="29" t="str">
        <f>'Table 1'!B76</f>
        <v>Commerce Ave</v>
      </c>
      <c r="E83" s="29" t="str">
        <f>'Table 1'!C76</f>
        <v>CR-A1A</v>
      </c>
      <c r="F83" s="44"/>
      <c r="G83" s="44"/>
      <c r="H83" s="44"/>
      <c r="I83" s="44"/>
      <c r="J83" s="44"/>
      <c r="K83" s="29" t="str">
        <f>'Table 1'!D76</f>
        <v>C4</v>
      </c>
      <c r="L83" s="29"/>
      <c r="M83" s="44"/>
      <c r="N83" s="46">
        <f>'Table 1'!E76</f>
        <v>1790</v>
      </c>
      <c r="O83" s="44"/>
      <c r="P83" s="44"/>
      <c r="Q83" s="44"/>
      <c r="R83" s="29">
        <f>'Table 1'!F76</f>
        <v>25398</v>
      </c>
      <c r="S83" s="44"/>
      <c r="T83" s="29" t="str">
        <f>'Table 1'!H76</f>
        <v>C</v>
      </c>
      <c r="U83" s="29"/>
      <c r="V83" s="29"/>
      <c r="W83" s="29"/>
      <c r="X83" s="29"/>
      <c r="Y83" s="44"/>
      <c r="Z83" s="44"/>
      <c r="AA83" s="44"/>
      <c r="AB83" s="44"/>
      <c r="AC83" s="44"/>
      <c r="AD83" s="44"/>
      <c r="AE83" s="46">
        <f>'Table 1'!G76</f>
        <v>1123</v>
      </c>
      <c r="AF83" s="44"/>
      <c r="AG83" s="44"/>
      <c r="AH83" s="44"/>
      <c r="AI83" s="47">
        <f>'Table 1'!I76*100</f>
        <v>0.5</v>
      </c>
      <c r="AJ83" s="44"/>
      <c r="AK83" s="44"/>
      <c r="AL83" s="44"/>
      <c r="AM83" s="44"/>
    </row>
    <row r="84" spans="2:39" ht="13.8" x14ac:dyDescent="0.25">
      <c r="B84" s="45" t="str">
        <f t="shared" si="1"/>
        <v>Indi_CR-A_St L</v>
      </c>
      <c r="C84" s="29" t="str">
        <f>'Table 1'!A77</f>
        <v>Indian St</v>
      </c>
      <c r="D84" s="29" t="str">
        <f>'Table 1'!B77</f>
        <v>CR-A1A</v>
      </c>
      <c r="E84" s="29" t="str">
        <f>'Table 1'!C77</f>
        <v>St Lucie Blvd</v>
      </c>
      <c r="F84" s="44"/>
      <c r="G84" s="44"/>
      <c r="H84" s="44"/>
      <c r="I84" s="44"/>
      <c r="J84" s="44"/>
      <c r="K84" s="29" t="str">
        <f>'Table 1'!D77</f>
        <v>C4</v>
      </c>
      <c r="L84" s="29"/>
      <c r="M84" s="44"/>
      <c r="N84" s="46">
        <f>'Table 1'!E77</f>
        <v>870</v>
      </c>
      <c r="O84" s="44"/>
      <c r="P84" s="44"/>
      <c r="Q84" s="44"/>
      <c r="R84" s="29">
        <f>'Table 1'!F77</f>
        <v>6583</v>
      </c>
      <c r="S84" s="44"/>
      <c r="T84" s="29" t="str">
        <f>'Table 1'!H77</f>
        <v>TCEA</v>
      </c>
      <c r="U84" s="29"/>
      <c r="V84" s="29"/>
      <c r="W84" s="29"/>
      <c r="X84" s="29"/>
      <c r="Y84" s="44"/>
      <c r="Z84" s="44"/>
      <c r="AA84" s="44"/>
      <c r="AB84" s="44"/>
      <c r="AC84" s="44"/>
      <c r="AD84" s="44"/>
      <c r="AE84" s="46">
        <f>'Table 1'!G77</f>
        <v>335</v>
      </c>
      <c r="AF84" s="44"/>
      <c r="AG84" s="44"/>
      <c r="AH84" s="44"/>
      <c r="AI84" s="47">
        <f>'Table 1'!I77*100</f>
        <v>0.5</v>
      </c>
      <c r="AJ84" s="44"/>
      <c r="AK84" s="44"/>
      <c r="AL84" s="44"/>
      <c r="AM84" s="44"/>
    </row>
    <row r="85" spans="2:39" ht="13.8" x14ac:dyDescent="0.25">
      <c r="B85" s="45" t="str">
        <f t="shared" si="1"/>
        <v>Indi_Palm_CR-7</v>
      </c>
      <c r="C85" s="29" t="str">
        <f>'Table 1'!A78</f>
        <v>Indian River Dr</v>
      </c>
      <c r="D85" s="29" t="str">
        <f>'Table 1'!B78</f>
        <v>Palmer St</v>
      </c>
      <c r="E85" s="29" t="str">
        <f>'Table 1'!C78</f>
        <v>CR-707</v>
      </c>
      <c r="F85" s="44"/>
      <c r="G85" s="44"/>
      <c r="H85" s="44"/>
      <c r="I85" s="44"/>
      <c r="J85" s="44"/>
      <c r="K85" s="29" t="str">
        <f>'Table 1'!D78</f>
        <v>C3R</v>
      </c>
      <c r="L85" s="29"/>
      <c r="M85" s="44"/>
      <c r="N85" s="46">
        <f>'Table 1'!E78</f>
        <v>1110</v>
      </c>
      <c r="O85" s="44"/>
      <c r="P85" s="44"/>
      <c r="Q85" s="44"/>
      <c r="R85" s="29">
        <f>'Table 1'!F78</f>
        <v>8559</v>
      </c>
      <c r="S85" s="44"/>
      <c r="T85" s="29" t="str">
        <f>'Table 1'!H78</f>
        <v>C</v>
      </c>
      <c r="U85" s="29"/>
      <c r="V85" s="29"/>
      <c r="W85" s="29"/>
      <c r="X85" s="29"/>
      <c r="Y85" s="44"/>
      <c r="Z85" s="44"/>
      <c r="AA85" s="44"/>
      <c r="AB85" s="44"/>
      <c r="AC85" s="44"/>
      <c r="AD85" s="44"/>
      <c r="AE85" s="46">
        <f>'Table 1'!G78</f>
        <v>338</v>
      </c>
      <c r="AF85" s="44"/>
      <c r="AG85" s="44"/>
      <c r="AH85" s="44"/>
      <c r="AI85" s="47">
        <f>'Table 1'!I78*100</f>
        <v>3.3000000000000003</v>
      </c>
      <c r="AJ85" s="44"/>
      <c r="AK85" s="44"/>
      <c r="AL85" s="44"/>
      <c r="AM85" s="44"/>
    </row>
    <row r="86" spans="2:39" ht="13.8" x14ac:dyDescent="0.25">
      <c r="B86" s="45" t="str">
        <f t="shared" si="1"/>
        <v>Isla_Palm_Jupi</v>
      </c>
      <c r="C86" s="29" t="str">
        <f>'Table 1'!A79</f>
        <v>Island Way</v>
      </c>
      <c r="D86" s="29" t="str">
        <f>'Table 1'!B79</f>
        <v>Palm Beach County</v>
      </c>
      <c r="E86" s="29" t="str">
        <f>'Table 1'!C79</f>
        <v>Jupiter Road</v>
      </c>
      <c r="F86" s="44"/>
      <c r="G86" s="44"/>
      <c r="H86" s="44"/>
      <c r="I86" s="44"/>
      <c r="J86" s="44"/>
      <c r="K86" s="29" t="str">
        <f>'Table 1'!D79</f>
        <v>C3R</v>
      </c>
      <c r="L86" s="29"/>
      <c r="M86" s="44"/>
      <c r="N86" s="46">
        <f>'Table 1'!E79</f>
        <v>1110</v>
      </c>
      <c r="O86" s="44"/>
      <c r="P86" s="44"/>
      <c r="Q86" s="44"/>
      <c r="R86" s="29">
        <f>'Table 1'!F79</f>
        <v>5107</v>
      </c>
      <c r="S86" s="44"/>
      <c r="T86" s="29" t="str">
        <f>'Table 1'!H79</f>
        <v>C</v>
      </c>
      <c r="U86" s="29"/>
      <c r="V86" s="29"/>
      <c r="W86" s="29"/>
      <c r="X86" s="29"/>
      <c r="Y86" s="44"/>
      <c r="Z86" s="44"/>
      <c r="AA86" s="44"/>
      <c r="AB86" s="44"/>
      <c r="AC86" s="44"/>
      <c r="AD86" s="44"/>
      <c r="AE86" s="46">
        <f>'Table 1'!G79</f>
        <v>452</v>
      </c>
      <c r="AF86" s="44"/>
      <c r="AG86" s="44"/>
      <c r="AH86" s="44"/>
      <c r="AI86" s="47">
        <f>'Table 1'!I79*100</f>
        <v>3.3000000000000003</v>
      </c>
      <c r="AJ86" s="44"/>
      <c r="AK86" s="44"/>
      <c r="AL86" s="44"/>
      <c r="AM86" s="44"/>
    </row>
    <row r="87" spans="2:39" ht="13.8" x14ac:dyDescent="0.25">
      <c r="B87" s="45" t="str">
        <f t="shared" si="1"/>
        <v>Isla_Jupi_Coun</v>
      </c>
      <c r="C87" s="29" t="str">
        <f>'Table 1'!A80</f>
        <v>Island Way</v>
      </c>
      <c r="D87" s="29" t="str">
        <f>'Table 1'!B80</f>
        <v>Jupiter Road</v>
      </c>
      <c r="E87" s="29" t="str">
        <f>'Table 1'!C80</f>
        <v>Country Club Dr</v>
      </c>
      <c r="F87" s="44"/>
      <c r="G87" s="44"/>
      <c r="H87" s="44"/>
      <c r="I87" s="44"/>
      <c r="J87" s="44"/>
      <c r="K87" s="29" t="str">
        <f>'Table 1'!D80</f>
        <v>C3R</v>
      </c>
      <c r="L87" s="29"/>
      <c r="M87" s="44"/>
      <c r="N87" s="46">
        <f>'Table 1'!E80</f>
        <v>890</v>
      </c>
      <c r="O87" s="44"/>
      <c r="P87" s="44"/>
      <c r="Q87" s="44"/>
      <c r="R87" s="29">
        <f>'Table 1'!F80</f>
        <v>5548</v>
      </c>
      <c r="S87" s="44"/>
      <c r="T87" s="29" t="str">
        <f>'Table 1'!H80</f>
        <v>C</v>
      </c>
      <c r="U87" s="29"/>
      <c r="V87" s="29"/>
      <c r="W87" s="29"/>
      <c r="X87" s="29"/>
      <c r="Y87" s="44"/>
      <c r="Z87" s="44"/>
      <c r="AA87" s="44"/>
      <c r="AB87" s="44"/>
      <c r="AC87" s="44"/>
      <c r="AD87" s="44"/>
      <c r="AE87" s="46">
        <f>'Table 1'!G80</f>
        <v>261</v>
      </c>
      <c r="AF87" s="44"/>
      <c r="AG87" s="44"/>
      <c r="AH87" s="44"/>
      <c r="AI87" s="47">
        <f>'Table 1'!I80*100</f>
        <v>3.4000000000000004</v>
      </c>
      <c r="AJ87" s="44"/>
      <c r="AK87" s="44"/>
      <c r="AL87" s="44"/>
      <c r="AM87" s="44"/>
    </row>
    <row r="88" spans="2:39" ht="13.8" x14ac:dyDescent="0.25">
      <c r="B88" s="45" t="str">
        <f t="shared" si="1"/>
        <v>Jack_SR-7_Blue</v>
      </c>
      <c r="C88" s="29" t="str">
        <f>'Table 1'!A81</f>
        <v>Jack James Rd</v>
      </c>
      <c r="D88" s="29" t="str">
        <f>'Table 1'!B81</f>
        <v>SR-76</v>
      </c>
      <c r="E88" s="29" t="str">
        <f>'Table 1'!C81</f>
        <v>Blue Water Wy</v>
      </c>
      <c r="F88" s="44"/>
      <c r="G88" s="44"/>
      <c r="H88" s="44"/>
      <c r="I88" s="44"/>
      <c r="J88" s="44"/>
      <c r="K88" s="29" t="str">
        <f>'Table 1'!D81</f>
        <v>C3C</v>
      </c>
      <c r="L88" s="29"/>
      <c r="M88" s="44"/>
      <c r="N88" s="46">
        <f>'Table 1'!E81</f>
        <v>1070</v>
      </c>
      <c r="O88" s="44"/>
      <c r="P88" s="44"/>
      <c r="Q88" s="44"/>
      <c r="R88" s="29">
        <f>'Table 1'!F81</f>
        <v>3572</v>
      </c>
      <c r="S88" s="44"/>
      <c r="T88" s="29" t="str">
        <f>'Table 1'!H81</f>
        <v>C</v>
      </c>
      <c r="U88" s="29"/>
      <c r="V88" s="29"/>
      <c r="W88" s="29"/>
      <c r="X88" s="29"/>
      <c r="Y88" s="44"/>
      <c r="Z88" s="44"/>
      <c r="AA88" s="44"/>
      <c r="AB88" s="44"/>
      <c r="AC88" s="44"/>
      <c r="AD88" s="44"/>
      <c r="AE88" s="46">
        <f>'Table 1'!G81</f>
        <v>252</v>
      </c>
      <c r="AF88" s="44"/>
      <c r="AG88" s="44"/>
      <c r="AH88" s="44"/>
      <c r="AI88" s="47">
        <f>'Table 1'!I81*100</f>
        <v>3.3000000000000003</v>
      </c>
      <c r="AJ88" s="44"/>
      <c r="AK88" s="44"/>
      <c r="AL88" s="44"/>
      <c r="AM88" s="44"/>
    </row>
    <row r="89" spans="2:39" ht="13.8" x14ac:dyDescent="0.25">
      <c r="B89" s="45" t="str">
        <f t="shared" si="1"/>
        <v>Lare_CR-7_CR-A</v>
      </c>
      <c r="C89" s="29" t="str">
        <f>'Table 1'!A82</f>
        <v>Lares St</v>
      </c>
      <c r="D89" s="29" t="str">
        <f>'Table 1'!B82</f>
        <v>CR-708</v>
      </c>
      <c r="E89" s="29" t="str">
        <f>'Table 1'!C82</f>
        <v>CR-A1A</v>
      </c>
      <c r="F89" s="44"/>
      <c r="G89" s="44"/>
      <c r="H89" s="44"/>
      <c r="I89" s="44"/>
      <c r="J89" s="44"/>
      <c r="K89" s="29" t="str">
        <f>'Table 1'!D82</f>
        <v>C4</v>
      </c>
      <c r="L89" s="29"/>
      <c r="M89" s="44"/>
      <c r="N89" s="46">
        <f>'Table 1'!E82</f>
        <v>695</v>
      </c>
      <c r="O89" s="44"/>
      <c r="P89" s="44"/>
      <c r="Q89" s="44"/>
      <c r="R89" s="29">
        <f>'Table 1'!F82</f>
        <v>2692</v>
      </c>
      <c r="S89" s="44"/>
      <c r="T89" s="29" t="str">
        <f>'Table 1'!H82</f>
        <v>TCEA</v>
      </c>
      <c r="U89" s="29"/>
      <c r="V89" s="29"/>
      <c r="W89" s="29"/>
      <c r="X89" s="29"/>
      <c r="Y89" s="44"/>
      <c r="Z89" s="44"/>
      <c r="AA89" s="44"/>
      <c r="AB89" s="44"/>
      <c r="AC89" s="44"/>
      <c r="AD89" s="44"/>
      <c r="AE89" s="46">
        <f>'Table 1'!G82</f>
        <v>139</v>
      </c>
      <c r="AF89" s="44"/>
      <c r="AG89" s="44"/>
      <c r="AH89" s="44"/>
      <c r="AI89" s="47">
        <f>'Table 1'!I82*100</f>
        <v>0.5</v>
      </c>
      <c r="AJ89" s="44"/>
      <c r="AK89" s="44"/>
      <c r="AL89" s="44"/>
      <c r="AM89" s="44"/>
    </row>
    <row r="90" spans="2:39" ht="13.8" x14ac:dyDescent="0.25">
      <c r="B90" s="45" t="str">
        <f t="shared" si="1"/>
        <v>Litt_Coun_Wood</v>
      </c>
      <c r="C90" s="29" t="str">
        <f>'Table 1'!A83</f>
        <v>Little Club Wy</v>
      </c>
      <c r="D90" s="29" t="str">
        <f>'Table 1'!B83</f>
        <v>Country Club Dr</v>
      </c>
      <c r="E90" s="29" t="str">
        <f>'Table 1'!C83</f>
        <v>Wooden Bridge Wy</v>
      </c>
      <c r="F90" s="44"/>
      <c r="G90" s="44"/>
      <c r="H90" s="44"/>
      <c r="I90" s="44"/>
      <c r="J90" s="44"/>
      <c r="K90" s="29" t="str">
        <f>'Table 1'!D83</f>
        <v>C3R</v>
      </c>
      <c r="L90" s="29"/>
      <c r="M90" s="44"/>
      <c r="N90" s="46">
        <f>'Table 1'!E83</f>
        <v>1110</v>
      </c>
      <c r="O90" s="44"/>
      <c r="P90" s="44"/>
      <c r="Q90" s="44"/>
      <c r="R90" s="29">
        <f>'Table 1'!F83</f>
        <v>2309</v>
      </c>
      <c r="S90" s="44"/>
      <c r="T90" s="29" t="str">
        <f>'Table 1'!H83</f>
        <v>C</v>
      </c>
      <c r="U90" s="29"/>
      <c r="V90" s="29"/>
      <c r="W90" s="29"/>
      <c r="X90" s="29"/>
      <c r="Y90" s="44"/>
      <c r="Z90" s="44"/>
      <c r="AA90" s="44"/>
      <c r="AB90" s="44"/>
      <c r="AC90" s="44"/>
      <c r="AD90" s="44"/>
      <c r="AE90" s="46">
        <f>'Table 1'!G83</f>
        <v>95</v>
      </c>
      <c r="AF90" s="44"/>
      <c r="AG90" s="44"/>
      <c r="AH90" s="44"/>
      <c r="AI90" s="47">
        <f>'Table 1'!I83*100</f>
        <v>0.5</v>
      </c>
      <c r="AJ90" s="44"/>
      <c r="AK90" s="44"/>
      <c r="AL90" s="44"/>
      <c r="AM90" s="44"/>
    </row>
    <row r="91" spans="2:39" ht="13.8" x14ac:dyDescent="0.25">
      <c r="B91" s="45" t="str">
        <f t="shared" si="1"/>
        <v>Lock_Cana_SR-7</v>
      </c>
      <c r="C91" s="29" t="str">
        <f>'Table 1'!A84</f>
        <v>Locks Rd</v>
      </c>
      <c r="D91" s="29" t="str">
        <f>'Table 1'!B84</f>
        <v>Canal St</v>
      </c>
      <c r="E91" s="29" t="str">
        <f>'Table 1'!C84</f>
        <v>SR-76</v>
      </c>
      <c r="F91" s="44"/>
      <c r="G91" s="44"/>
      <c r="H91" s="44"/>
      <c r="I91" s="44"/>
      <c r="J91" s="44"/>
      <c r="K91" s="29" t="str">
        <f>'Table 1'!D84</f>
        <v>C3R</v>
      </c>
      <c r="L91" s="29"/>
      <c r="M91" s="44"/>
      <c r="N91" s="46">
        <f>'Table 1'!E84</f>
        <v>1110</v>
      </c>
      <c r="O91" s="44"/>
      <c r="P91" s="44"/>
      <c r="Q91" s="44"/>
      <c r="R91" s="29">
        <f>'Table 1'!F84</f>
        <v>3682</v>
      </c>
      <c r="S91" s="44"/>
      <c r="T91" s="29" t="str">
        <f>'Table 1'!H84</f>
        <v>C</v>
      </c>
      <c r="U91" s="29"/>
      <c r="V91" s="29"/>
      <c r="W91" s="29"/>
      <c r="X91" s="29"/>
      <c r="Y91" s="44"/>
      <c r="Z91" s="44"/>
      <c r="AA91" s="44"/>
      <c r="AB91" s="44"/>
      <c r="AC91" s="44"/>
      <c r="AD91" s="44"/>
      <c r="AE91" s="46">
        <f>'Table 1'!G84</f>
        <v>171</v>
      </c>
      <c r="AF91" s="44"/>
      <c r="AG91" s="44"/>
      <c r="AH91" s="44"/>
      <c r="AI91" s="47">
        <f>'Table 1'!I84*100</f>
        <v>0.5</v>
      </c>
      <c r="AJ91" s="44"/>
      <c r="AK91" s="44"/>
      <c r="AL91" s="44"/>
      <c r="AM91" s="44"/>
    </row>
    <row r="92" spans="2:39" ht="13.8" x14ac:dyDescent="0.25">
      <c r="B92" s="45" t="str">
        <f t="shared" si="1"/>
        <v>MacA_Sail_SR-A</v>
      </c>
      <c r="C92" s="29" t="str">
        <f>'Table 1'!A85</f>
        <v>MacArthur Blvd</v>
      </c>
      <c r="D92" s="29" t="str">
        <f>'Table 1'!B85</f>
        <v>Sailfish Point</v>
      </c>
      <c r="E92" s="29" t="str">
        <f>'Table 1'!C85</f>
        <v>SR-A1A</v>
      </c>
      <c r="F92" s="44"/>
      <c r="G92" s="44"/>
      <c r="H92" s="44"/>
      <c r="I92" s="44"/>
      <c r="J92" s="44"/>
      <c r="K92" s="29" t="str">
        <f>'Table 1'!D85</f>
        <v>C3R</v>
      </c>
      <c r="L92" s="29"/>
      <c r="M92" s="44"/>
      <c r="N92" s="46">
        <f>'Table 1'!E85</f>
        <v>1110</v>
      </c>
      <c r="O92" s="44"/>
      <c r="P92" s="44"/>
      <c r="Q92" s="44"/>
      <c r="R92" s="29">
        <f>'Table 1'!F85</f>
        <v>5756</v>
      </c>
      <c r="S92" s="44"/>
      <c r="T92" s="29" t="str">
        <f>'Table 1'!H85</f>
        <v>C</v>
      </c>
      <c r="U92" s="29"/>
      <c r="V92" s="29"/>
      <c r="W92" s="29"/>
      <c r="X92" s="29"/>
      <c r="Y92" s="44"/>
      <c r="Z92" s="44"/>
      <c r="AA92" s="44"/>
      <c r="AB92" s="44"/>
      <c r="AC92" s="44"/>
      <c r="AD92" s="44"/>
      <c r="AE92" s="46">
        <f>'Table 1'!G85</f>
        <v>342</v>
      </c>
      <c r="AF92" s="44"/>
      <c r="AG92" s="44"/>
      <c r="AH92" s="44"/>
      <c r="AI92" s="47">
        <f>'Table 1'!I85*100</f>
        <v>0.5</v>
      </c>
      <c r="AJ92" s="44"/>
      <c r="AK92" s="44"/>
      <c r="AL92" s="44"/>
      <c r="AM92" s="44"/>
    </row>
    <row r="93" spans="2:39" ht="13.8" x14ac:dyDescent="0.25">
      <c r="B93" s="45" t="str">
        <f t="shared" si="1"/>
        <v>Mapp_Sout_CR-7</v>
      </c>
      <c r="C93" s="29" t="str">
        <f>'Table 1'!A86</f>
        <v>Mapp Rd</v>
      </c>
      <c r="D93" s="29" t="str">
        <f>'Table 1'!B86</f>
        <v>South End</v>
      </c>
      <c r="E93" s="29" t="str">
        <f>'Table 1'!C86</f>
        <v>CR-714</v>
      </c>
      <c r="F93" s="44"/>
      <c r="G93" s="44"/>
      <c r="H93" s="44"/>
      <c r="I93" s="44"/>
      <c r="J93" s="44"/>
      <c r="K93" s="29" t="str">
        <f>'Table 1'!D86</f>
        <v>C3R</v>
      </c>
      <c r="L93" s="29"/>
      <c r="M93" s="44"/>
      <c r="N93" s="46">
        <f>'Table 1'!E86</f>
        <v>1110</v>
      </c>
      <c r="O93" s="44"/>
      <c r="P93" s="44"/>
      <c r="Q93" s="44"/>
      <c r="R93" s="29">
        <f>'Table 1'!F86</f>
        <v>5981</v>
      </c>
      <c r="S93" s="44"/>
      <c r="T93" s="29" t="str">
        <f>'Table 1'!H86</f>
        <v>C</v>
      </c>
      <c r="U93" s="29"/>
      <c r="V93" s="29"/>
      <c r="W93" s="29"/>
      <c r="X93" s="29"/>
      <c r="Y93" s="44"/>
      <c r="Z93" s="44"/>
      <c r="AA93" s="44"/>
      <c r="AB93" s="44"/>
      <c r="AC93" s="44"/>
      <c r="AD93" s="44"/>
      <c r="AE93" s="46">
        <f>'Table 1'!G86</f>
        <v>325</v>
      </c>
      <c r="AF93" s="44"/>
      <c r="AG93" s="44"/>
      <c r="AH93" s="44"/>
      <c r="AI93" s="47">
        <f>'Table 1'!I86*100</f>
        <v>3.4000000000000004</v>
      </c>
      <c r="AJ93" s="44"/>
      <c r="AK93" s="44"/>
      <c r="AL93" s="44"/>
      <c r="AM93" s="44"/>
    </row>
    <row r="94" spans="2:39" ht="13.8" x14ac:dyDescent="0.25">
      <c r="B94" s="45" t="str">
        <f t="shared" si="1"/>
        <v>Mapp_CR-7_SR-7</v>
      </c>
      <c r="C94" s="29" t="str">
        <f>'Table 1'!A87</f>
        <v>Mapp Rd</v>
      </c>
      <c r="D94" s="29" t="str">
        <f>'Table 1'!B87</f>
        <v>CR-714</v>
      </c>
      <c r="E94" s="29" t="str">
        <f>'Table 1'!C87</f>
        <v>SR-714</v>
      </c>
      <c r="F94" s="44"/>
      <c r="G94" s="44"/>
      <c r="H94" s="44"/>
      <c r="I94" s="44"/>
      <c r="J94" s="44"/>
      <c r="K94" s="29" t="str">
        <f>'Table 1'!D87</f>
        <v>C4</v>
      </c>
      <c r="L94" s="29"/>
      <c r="M94" s="44"/>
      <c r="N94" s="46">
        <f>'Table 1'!E87</f>
        <v>870</v>
      </c>
      <c r="O94" s="44"/>
      <c r="P94" s="44"/>
      <c r="Q94" s="44"/>
      <c r="R94" s="29">
        <f>'Table 1'!F87</f>
        <v>11818</v>
      </c>
      <c r="S94" s="44"/>
      <c r="T94" s="29" t="str">
        <f>'Table 1'!H87</f>
        <v>TCEA</v>
      </c>
      <c r="U94" s="29"/>
      <c r="V94" s="29"/>
      <c r="W94" s="29"/>
      <c r="X94" s="29"/>
      <c r="Y94" s="44"/>
      <c r="Z94" s="44"/>
      <c r="AA94" s="44"/>
      <c r="AB94" s="44"/>
      <c r="AC94" s="44"/>
      <c r="AD94" s="44"/>
      <c r="AE94" s="46">
        <f>'Table 1'!G87</f>
        <v>564</v>
      </c>
      <c r="AF94" s="44"/>
      <c r="AG94" s="44"/>
      <c r="AH94" s="44"/>
      <c r="AI94" s="47">
        <f>'Table 1'!I87*100</f>
        <v>0.5</v>
      </c>
      <c r="AJ94" s="44"/>
      <c r="AK94" s="44"/>
      <c r="AL94" s="44"/>
      <c r="AM94" s="44"/>
    </row>
    <row r="95" spans="2:39" ht="13.8" x14ac:dyDescent="0.25">
      <c r="B95" s="45" t="str">
        <f t="shared" si="1"/>
        <v>Mapp_SR-7_Math</v>
      </c>
      <c r="C95" s="29" t="str">
        <f>'Table 1'!A88</f>
        <v>Mapp Rd</v>
      </c>
      <c r="D95" s="29" t="str">
        <f>'Table 1'!B88</f>
        <v>SR-714</v>
      </c>
      <c r="E95" s="29" t="str">
        <f>'Table 1'!C88</f>
        <v>Matheson Ave</v>
      </c>
      <c r="F95" s="44"/>
      <c r="G95" s="44"/>
      <c r="H95" s="44"/>
      <c r="I95" s="44"/>
      <c r="J95" s="44"/>
      <c r="K95" s="29" t="str">
        <f>'Table 1'!D88</f>
        <v>C3R</v>
      </c>
      <c r="L95" s="29"/>
      <c r="M95" s="44"/>
      <c r="N95" s="46">
        <f>'Table 1'!E88</f>
        <v>1110</v>
      </c>
      <c r="O95" s="44"/>
      <c r="P95" s="44"/>
      <c r="Q95" s="44"/>
      <c r="R95" s="29">
        <f>'Table 1'!F88</f>
        <v>4849</v>
      </c>
      <c r="S95" s="44"/>
      <c r="T95" s="29" t="str">
        <f>'Table 1'!H88</f>
        <v>C</v>
      </c>
      <c r="U95" s="29"/>
      <c r="V95" s="29"/>
      <c r="W95" s="29"/>
      <c r="X95" s="29"/>
      <c r="Y95" s="44"/>
      <c r="Z95" s="44"/>
      <c r="AA95" s="44"/>
      <c r="AB95" s="44"/>
      <c r="AC95" s="44"/>
      <c r="AD95" s="44"/>
      <c r="AE95" s="46">
        <f>'Table 1'!G88</f>
        <v>251</v>
      </c>
      <c r="AF95" s="44"/>
      <c r="AG95" s="44"/>
      <c r="AH95" s="44"/>
      <c r="AI95" s="47">
        <f>'Table 1'!I88*100</f>
        <v>0.5</v>
      </c>
      <c r="AJ95" s="44"/>
      <c r="AK95" s="44"/>
      <c r="AL95" s="44"/>
      <c r="AM95" s="44"/>
    </row>
    <row r="96" spans="2:39" ht="13.8" x14ac:dyDescent="0.25">
      <c r="B96" s="45" t="str">
        <f t="shared" si="1"/>
        <v>Mapp_Math_Nort</v>
      </c>
      <c r="C96" s="29" t="str">
        <f>'Table 1'!A89</f>
        <v>Mapp Rd</v>
      </c>
      <c r="D96" s="29" t="str">
        <f>'Table 1'!B89</f>
        <v>Matheson Ave</v>
      </c>
      <c r="E96" s="29" t="str">
        <f>'Table 1'!C89</f>
        <v>North End</v>
      </c>
      <c r="F96" s="44"/>
      <c r="G96" s="44"/>
      <c r="H96" s="44"/>
      <c r="I96" s="44"/>
      <c r="J96" s="44"/>
      <c r="K96" s="29" t="str">
        <f>'Table 1'!D89</f>
        <v>C3R</v>
      </c>
      <c r="L96" s="29"/>
      <c r="M96" s="44"/>
      <c r="N96" s="46">
        <f>'Table 1'!E89</f>
        <v>1110</v>
      </c>
      <c r="O96" s="44"/>
      <c r="P96" s="44"/>
      <c r="Q96" s="44"/>
      <c r="R96" s="29">
        <f>'Table 1'!F89</f>
        <v>7457</v>
      </c>
      <c r="S96" s="44"/>
      <c r="T96" s="29" t="str">
        <f>'Table 1'!H89</f>
        <v>C</v>
      </c>
      <c r="U96" s="29"/>
      <c r="V96" s="29"/>
      <c r="W96" s="29"/>
      <c r="X96" s="29"/>
      <c r="Y96" s="44"/>
      <c r="Z96" s="44"/>
      <c r="AA96" s="44"/>
      <c r="AB96" s="44"/>
      <c r="AC96" s="44"/>
      <c r="AD96" s="44"/>
      <c r="AE96" s="46">
        <f>'Table 1'!G89</f>
        <v>304</v>
      </c>
      <c r="AF96" s="44"/>
      <c r="AG96" s="44"/>
      <c r="AH96" s="44"/>
      <c r="AI96" s="47">
        <f>'Table 1'!I89*100</f>
        <v>0.5</v>
      </c>
      <c r="AJ96" s="44"/>
      <c r="AK96" s="44"/>
      <c r="AL96" s="44"/>
      <c r="AM96" s="44"/>
    </row>
    <row r="97" spans="2:39" ht="13.8" x14ac:dyDescent="0.25">
      <c r="B97" s="45" t="str">
        <f t="shared" si="1"/>
        <v>Math_SR-7_Mapp</v>
      </c>
      <c r="C97" s="29" t="str">
        <f>'Table 1'!A90</f>
        <v>Matheson Ave</v>
      </c>
      <c r="D97" s="29" t="str">
        <f>'Table 1'!B90</f>
        <v>SR-714</v>
      </c>
      <c r="E97" s="29" t="str">
        <f>'Table 1'!C90</f>
        <v>Mapp Rd</v>
      </c>
      <c r="F97" s="44"/>
      <c r="G97" s="44"/>
      <c r="H97" s="44"/>
      <c r="I97" s="44"/>
      <c r="J97" s="44"/>
      <c r="K97" s="29" t="str">
        <f>'Table 1'!D90</f>
        <v>C3R</v>
      </c>
      <c r="L97" s="29"/>
      <c r="M97" s="44"/>
      <c r="N97" s="46">
        <f>'Table 1'!E90</f>
        <v>1110</v>
      </c>
      <c r="O97" s="44"/>
      <c r="P97" s="44"/>
      <c r="Q97" s="44"/>
      <c r="R97" s="29">
        <f>'Table 1'!F90</f>
        <v>6332</v>
      </c>
      <c r="S97" s="44"/>
      <c r="T97" s="29" t="str">
        <f>'Table 1'!H90</f>
        <v>C</v>
      </c>
      <c r="U97" s="29"/>
      <c r="V97" s="29"/>
      <c r="W97" s="29"/>
      <c r="X97" s="29"/>
      <c r="Y97" s="44"/>
      <c r="Z97" s="44"/>
      <c r="AA97" s="44"/>
      <c r="AB97" s="44"/>
      <c r="AC97" s="44"/>
      <c r="AD97" s="44"/>
      <c r="AE97" s="46">
        <f>'Table 1'!G90</f>
        <v>325</v>
      </c>
      <c r="AF97" s="44"/>
      <c r="AG97" s="44"/>
      <c r="AH97" s="44"/>
      <c r="AI97" s="47">
        <f>'Table 1'!I90*100</f>
        <v>2</v>
      </c>
      <c r="AJ97" s="44"/>
      <c r="AK97" s="44"/>
      <c r="AL97" s="44"/>
      <c r="AM97" s="44"/>
    </row>
    <row r="98" spans="2:39" ht="13.8" x14ac:dyDescent="0.25">
      <c r="B98" s="45" t="str">
        <f t="shared" si="1"/>
        <v>Monr_SR-5_Comm</v>
      </c>
      <c r="C98" s="29" t="str">
        <f>'Table 1'!A91</f>
        <v>Monroe St</v>
      </c>
      <c r="D98" s="29" t="str">
        <f>'Table 1'!B91</f>
        <v>SR-5</v>
      </c>
      <c r="E98" s="29" t="str">
        <f>'Table 1'!C91</f>
        <v>Commerce Ave</v>
      </c>
      <c r="F98" s="44"/>
      <c r="G98" s="44"/>
      <c r="H98" s="44"/>
      <c r="I98" s="44"/>
      <c r="J98" s="44"/>
      <c r="K98" s="29" t="str">
        <f>'Table 1'!D91</f>
        <v>C3C</v>
      </c>
      <c r="L98" s="29"/>
      <c r="M98" s="44"/>
      <c r="N98" s="46">
        <f>'Table 1'!E91</f>
        <v>1070</v>
      </c>
      <c r="O98" s="44"/>
      <c r="P98" s="44"/>
      <c r="Q98" s="44"/>
      <c r="R98" s="29">
        <f>'Table 1'!F91</f>
        <v>1620</v>
      </c>
      <c r="S98" s="44"/>
      <c r="T98" s="29" t="str">
        <f>'Table 1'!H91</f>
        <v>C</v>
      </c>
      <c r="U98" s="29"/>
      <c r="V98" s="29"/>
      <c r="W98" s="29"/>
      <c r="X98" s="29"/>
      <c r="Y98" s="44"/>
      <c r="Z98" s="44"/>
      <c r="AA98" s="44"/>
      <c r="AB98" s="44"/>
      <c r="AC98" s="44"/>
      <c r="AD98" s="44"/>
      <c r="AE98" s="46">
        <f>'Table 1'!G91</f>
        <v>114</v>
      </c>
      <c r="AF98" s="44"/>
      <c r="AG98" s="44"/>
      <c r="AH98" s="44"/>
      <c r="AI98" s="47">
        <f>'Table 1'!I91*100</f>
        <v>0.5</v>
      </c>
      <c r="AJ98" s="44"/>
      <c r="AK98" s="44"/>
      <c r="AL98" s="44"/>
      <c r="AM98" s="44"/>
    </row>
    <row r="99" spans="2:39" ht="13.8" x14ac:dyDescent="0.25">
      <c r="B99" s="45" t="str">
        <f t="shared" si="1"/>
        <v>Murp_Mapp_High</v>
      </c>
      <c r="C99" s="29" t="str">
        <f>'Table 1'!A92</f>
        <v>Murphy Rd</v>
      </c>
      <c r="D99" s="29" t="str">
        <f>'Table 1'!B92</f>
        <v>Mapp Rd</v>
      </c>
      <c r="E99" s="29" t="str">
        <f>'Table 1'!C92</f>
        <v>High Meadow Ave</v>
      </c>
      <c r="F99" s="44"/>
      <c r="G99" s="44"/>
      <c r="H99" s="44"/>
      <c r="I99" s="44"/>
      <c r="J99" s="44"/>
      <c r="K99" s="29" t="str">
        <f>'Table 1'!D92</f>
        <v>C3R</v>
      </c>
      <c r="L99" s="29"/>
      <c r="M99" s="44"/>
      <c r="N99" s="46">
        <f>'Table 1'!E92</f>
        <v>1110</v>
      </c>
      <c r="O99" s="44"/>
      <c r="P99" s="44"/>
      <c r="Q99" s="44"/>
      <c r="R99" s="29">
        <f>'Table 1'!F92</f>
        <v>5474</v>
      </c>
      <c r="S99" s="44"/>
      <c r="T99" s="29" t="str">
        <f>'Table 1'!H92</f>
        <v>C</v>
      </c>
      <c r="U99" s="29"/>
      <c r="V99" s="29"/>
      <c r="W99" s="29"/>
      <c r="X99" s="29"/>
      <c r="Y99" s="44"/>
      <c r="Z99" s="44"/>
      <c r="AA99" s="44"/>
      <c r="AB99" s="44"/>
      <c r="AC99" s="44"/>
      <c r="AD99" s="44"/>
      <c r="AE99" s="46">
        <f>'Table 1'!G92</f>
        <v>302</v>
      </c>
      <c r="AF99" s="44"/>
      <c r="AG99" s="44"/>
      <c r="AH99" s="44"/>
      <c r="AI99" s="47">
        <f>'Table 1'!I92*100</f>
        <v>0.5</v>
      </c>
      <c r="AJ99" s="44"/>
      <c r="AK99" s="44"/>
      <c r="AL99" s="44"/>
      <c r="AM99" s="44"/>
    </row>
    <row r="100" spans="2:39" ht="13.8" x14ac:dyDescent="0.25">
      <c r="B100" s="45" t="str">
        <f t="shared" si="1"/>
        <v>Murp_High_St L</v>
      </c>
      <c r="C100" s="29" t="str">
        <f>'Table 1'!A93</f>
        <v>Murphy Rd</v>
      </c>
      <c r="D100" s="29" t="str">
        <f>'Table 1'!B93</f>
        <v>High Meadow Ave</v>
      </c>
      <c r="E100" s="29" t="str">
        <f>'Table 1'!C93</f>
        <v>St Lucie County</v>
      </c>
      <c r="F100" s="44"/>
      <c r="G100" s="44"/>
      <c r="H100" s="44"/>
      <c r="I100" s="44"/>
      <c r="J100" s="44"/>
      <c r="K100" s="29" t="str">
        <f>'Table 1'!D93</f>
        <v>C3R</v>
      </c>
      <c r="L100" s="29"/>
      <c r="M100" s="44"/>
      <c r="N100" s="46">
        <f>'Table 1'!E93</f>
        <v>1110</v>
      </c>
      <c r="O100" s="44"/>
      <c r="P100" s="44"/>
      <c r="Q100" s="44"/>
      <c r="R100" s="29">
        <f>'Table 1'!F93</f>
        <v>9804</v>
      </c>
      <c r="S100" s="44"/>
      <c r="T100" s="29" t="str">
        <f>'Table 1'!H93</f>
        <v>C</v>
      </c>
      <c r="U100" s="29"/>
      <c r="V100" s="29"/>
      <c r="W100" s="29"/>
      <c r="X100" s="29"/>
      <c r="Y100" s="44"/>
      <c r="Z100" s="44"/>
      <c r="AA100" s="44"/>
      <c r="AB100" s="44"/>
      <c r="AC100" s="44"/>
      <c r="AD100" s="44"/>
      <c r="AE100" s="46">
        <f>'Table 1'!G93</f>
        <v>859</v>
      </c>
      <c r="AF100" s="44"/>
      <c r="AG100" s="44"/>
      <c r="AH100" s="44"/>
      <c r="AI100" s="47">
        <f>'Table 1'!I93*100</f>
        <v>0.5</v>
      </c>
      <c r="AJ100" s="44"/>
      <c r="AK100" s="44"/>
      <c r="AL100" s="44"/>
      <c r="AM100" s="44"/>
    </row>
    <row r="101" spans="2:39" ht="13.8" x14ac:dyDescent="0.25">
      <c r="B101" s="45" t="str">
        <f t="shared" si="1"/>
        <v>Ocea_Flag_Palm</v>
      </c>
      <c r="C101" s="29" t="str">
        <f>'Table 1'!A94</f>
        <v>Ocean Blvd</v>
      </c>
      <c r="D101" s="29" t="str">
        <f>'Table 1'!B94</f>
        <v>Flagler Ave</v>
      </c>
      <c r="E101" s="29" t="str">
        <f>'Table 1'!C94</f>
        <v>Palm Beach Rd</v>
      </c>
      <c r="F101" s="44"/>
      <c r="G101" s="44"/>
      <c r="H101" s="44"/>
      <c r="I101" s="44"/>
      <c r="J101" s="44"/>
      <c r="K101" s="29" t="str">
        <f>'Table 1'!D94</f>
        <v>C4</v>
      </c>
      <c r="L101" s="29"/>
      <c r="M101" s="44"/>
      <c r="N101" s="46">
        <f>'Table 1'!E94</f>
        <v>915</v>
      </c>
      <c r="O101" s="44"/>
      <c r="P101" s="44"/>
      <c r="Q101" s="44"/>
      <c r="R101" s="29">
        <f>'Table 1'!F94</f>
        <v>9241</v>
      </c>
      <c r="S101" s="44"/>
      <c r="T101" s="29" t="str">
        <f>'Table 1'!H94</f>
        <v>D</v>
      </c>
      <c r="U101" s="29"/>
      <c r="V101" s="29"/>
      <c r="W101" s="29"/>
      <c r="X101" s="29"/>
      <c r="Y101" s="44"/>
      <c r="Z101" s="44"/>
      <c r="AA101" s="44"/>
      <c r="AB101" s="44"/>
      <c r="AC101" s="44"/>
      <c r="AD101" s="44"/>
      <c r="AE101" s="46">
        <f>'Table 1'!G94</f>
        <v>498</v>
      </c>
      <c r="AF101" s="44"/>
      <c r="AG101" s="44"/>
      <c r="AH101" s="44"/>
      <c r="AI101" s="47">
        <f>'Table 1'!I94*100</f>
        <v>0.5</v>
      </c>
      <c r="AJ101" s="44"/>
      <c r="AK101" s="44"/>
      <c r="AL101" s="44"/>
      <c r="AM101" s="44"/>
    </row>
    <row r="102" spans="2:39" ht="13.8" x14ac:dyDescent="0.25">
      <c r="B102" s="45" t="str">
        <f t="shared" si="1"/>
        <v>Ocea_Palm_SR-7</v>
      </c>
      <c r="C102" s="29" t="str">
        <f>'Table 1'!A95</f>
        <v>Ocean Blvd</v>
      </c>
      <c r="D102" s="29" t="str">
        <f>'Table 1'!B95</f>
        <v>Palm Beach Rd</v>
      </c>
      <c r="E102" s="29" t="str">
        <f>'Table 1'!C95</f>
        <v>SR-714</v>
      </c>
      <c r="F102" s="44"/>
      <c r="G102" s="44"/>
      <c r="H102" s="44"/>
      <c r="I102" s="44"/>
      <c r="J102" s="44"/>
      <c r="K102" s="29" t="str">
        <f>'Table 1'!D95</f>
        <v>C4</v>
      </c>
      <c r="L102" s="29"/>
      <c r="M102" s="44"/>
      <c r="N102" s="46">
        <f>'Table 1'!E95</f>
        <v>1880</v>
      </c>
      <c r="O102" s="44"/>
      <c r="P102" s="44"/>
      <c r="Q102" s="44"/>
      <c r="R102" s="29">
        <f>'Table 1'!F95</f>
        <v>11882</v>
      </c>
      <c r="S102" s="44"/>
      <c r="T102" s="29" t="str">
        <f>'Table 1'!H95</f>
        <v>C</v>
      </c>
      <c r="U102" s="29"/>
      <c r="V102" s="29"/>
      <c r="W102" s="29"/>
      <c r="X102" s="29"/>
      <c r="Y102" s="44"/>
      <c r="Z102" s="44"/>
      <c r="AA102" s="44"/>
      <c r="AB102" s="44"/>
      <c r="AC102" s="44"/>
      <c r="AD102" s="44"/>
      <c r="AE102" s="46">
        <f>'Table 1'!G95</f>
        <v>581</v>
      </c>
      <c r="AF102" s="44"/>
      <c r="AG102" s="44"/>
      <c r="AH102" s="44"/>
      <c r="AI102" s="47">
        <f>'Table 1'!I95*100</f>
        <v>0.5</v>
      </c>
      <c r="AJ102" s="44"/>
      <c r="AK102" s="44"/>
      <c r="AL102" s="44"/>
      <c r="AM102" s="44"/>
    </row>
    <row r="103" spans="2:39" ht="13.8" x14ac:dyDescent="0.25">
      <c r="B103" s="45" t="str">
        <f t="shared" si="1"/>
        <v>Ospr_SR-5_CR-A</v>
      </c>
      <c r="C103" s="29" t="str">
        <f>'Table 1'!A96</f>
        <v>Osprey St</v>
      </c>
      <c r="D103" s="29" t="str">
        <f>'Table 1'!B96</f>
        <v>SR-5</v>
      </c>
      <c r="E103" s="29" t="str">
        <f>'Table 1'!C96</f>
        <v>CR-A1A</v>
      </c>
      <c r="F103" s="44"/>
      <c r="G103" s="44"/>
      <c r="H103" s="44"/>
      <c r="I103" s="44"/>
      <c r="J103" s="44"/>
      <c r="K103" s="29" t="str">
        <f>'Table 1'!D96</f>
        <v>C3R</v>
      </c>
      <c r="L103" s="29"/>
      <c r="M103" s="44"/>
      <c r="N103" s="46">
        <f>'Table 1'!E96</f>
        <v>1110</v>
      </c>
      <c r="O103" s="44"/>
      <c r="P103" s="44"/>
      <c r="Q103" s="44"/>
      <c r="R103" s="29">
        <f>'Table 1'!F96</f>
        <v>5871</v>
      </c>
      <c r="S103" s="44"/>
      <c r="T103" s="29" t="str">
        <f>'Table 1'!H96</f>
        <v>C</v>
      </c>
      <c r="U103" s="29"/>
      <c r="V103" s="29"/>
      <c r="W103" s="29"/>
      <c r="X103" s="29"/>
      <c r="Y103" s="44"/>
      <c r="Z103" s="44"/>
      <c r="AA103" s="44"/>
      <c r="AB103" s="44"/>
      <c r="AC103" s="44"/>
      <c r="AD103" s="44"/>
      <c r="AE103" s="46">
        <f>'Table 1'!G96</f>
        <v>238</v>
      </c>
      <c r="AF103" s="44"/>
      <c r="AG103" s="44"/>
      <c r="AH103" s="44"/>
      <c r="AI103" s="47">
        <f>'Table 1'!I96*100</f>
        <v>3.1</v>
      </c>
      <c r="AJ103" s="44"/>
      <c r="AK103" s="44"/>
      <c r="AL103" s="44"/>
      <c r="AM103" s="44"/>
    </row>
    <row r="104" spans="2:39" ht="13.8" x14ac:dyDescent="0.25">
      <c r="B104" s="45" t="str">
        <f t="shared" si="1"/>
        <v>Ospr_CR-A_Gome</v>
      </c>
      <c r="C104" s="29" t="str">
        <f>'Table 1'!A97</f>
        <v>Osprey St</v>
      </c>
      <c r="D104" s="29" t="str">
        <f>'Table 1'!B97</f>
        <v>CR-A1A</v>
      </c>
      <c r="E104" s="29" t="str">
        <f>'Table 1'!C97</f>
        <v>Gomez Ave</v>
      </c>
      <c r="F104" s="44"/>
      <c r="G104" s="44"/>
      <c r="H104" s="44"/>
      <c r="I104" s="44"/>
      <c r="J104" s="44"/>
      <c r="K104" s="29" t="str">
        <f>'Table 1'!D97</f>
        <v>C3R</v>
      </c>
      <c r="L104" s="29"/>
      <c r="M104" s="44"/>
      <c r="N104" s="46">
        <f>'Table 1'!E97</f>
        <v>1110</v>
      </c>
      <c r="O104" s="44"/>
      <c r="P104" s="44"/>
      <c r="Q104" s="44"/>
      <c r="R104" s="29">
        <f>'Table 1'!F97</f>
        <v>2270</v>
      </c>
      <c r="S104" s="44"/>
      <c r="T104" s="29" t="str">
        <f>'Table 1'!H97</f>
        <v>C</v>
      </c>
      <c r="U104" s="29"/>
      <c r="V104" s="29"/>
      <c r="W104" s="29"/>
      <c r="X104" s="29"/>
      <c r="Y104" s="44"/>
      <c r="Z104" s="44"/>
      <c r="AA104" s="44"/>
      <c r="AB104" s="44"/>
      <c r="AC104" s="44"/>
      <c r="AD104" s="44"/>
      <c r="AE104" s="46">
        <f>'Table 1'!G97</f>
        <v>110</v>
      </c>
      <c r="AF104" s="44"/>
      <c r="AG104" s="44"/>
      <c r="AH104" s="44"/>
      <c r="AI104" s="47">
        <f>'Table 1'!I97*100</f>
        <v>4.2</v>
      </c>
      <c r="AJ104" s="44"/>
      <c r="AK104" s="44"/>
      <c r="AL104" s="44"/>
      <c r="AM104" s="44"/>
    </row>
    <row r="105" spans="2:39" ht="13.8" x14ac:dyDescent="0.25">
      <c r="B105" s="45" t="str">
        <f t="shared" si="1"/>
        <v>Palm_SR-7_Ocea</v>
      </c>
      <c r="C105" s="29" t="str">
        <f>'Table 1'!A98</f>
        <v>Palm Beach Rd</v>
      </c>
      <c r="D105" s="29" t="str">
        <f>'Table 1'!B98</f>
        <v>SR-714</v>
      </c>
      <c r="E105" s="29" t="str">
        <f>'Table 1'!C98</f>
        <v>Ocean Blvd</v>
      </c>
      <c r="F105" s="44"/>
      <c r="G105" s="44"/>
      <c r="H105" s="44"/>
      <c r="I105" s="44"/>
      <c r="J105" s="44"/>
      <c r="K105" s="29" t="str">
        <f>'Table 1'!D98</f>
        <v>C4</v>
      </c>
      <c r="L105" s="29"/>
      <c r="M105" s="44"/>
      <c r="N105" s="46">
        <f>'Table 1'!E98</f>
        <v>915</v>
      </c>
      <c r="O105" s="44"/>
      <c r="P105" s="44"/>
      <c r="Q105" s="44"/>
      <c r="R105" s="29">
        <f>'Table 1'!F98</f>
        <v>8379</v>
      </c>
      <c r="S105" s="44"/>
      <c r="T105" s="29" t="str">
        <f>'Table 1'!H98</f>
        <v>D</v>
      </c>
      <c r="U105" s="29"/>
      <c r="V105" s="29"/>
      <c r="W105" s="29"/>
      <c r="X105" s="29"/>
      <c r="Y105" s="44"/>
      <c r="Z105" s="44"/>
      <c r="AA105" s="44"/>
      <c r="AB105" s="44"/>
      <c r="AC105" s="44"/>
      <c r="AD105" s="44"/>
      <c r="AE105" s="46">
        <f>'Table 1'!G98</f>
        <v>509</v>
      </c>
      <c r="AF105" s="44"/>
      <c r="AG105" s="44"/>
      <c r="AH105" s="44"/>
      <c r="AI105" s="47">
        <f>'Table 1'!I98*100</f>
        <v>0.5</v>
      </c>
      <c r="AJ105" s="44"/>
      <c r="AK105" s="44"/>
      <c r="AL105" s="44"/>
      <c r="AM105" s="44"/>
    </row>
    <row r="106" spans="2:39" ht="13.8" x14ac:dyDescent="0.25">
      <c r="B106" s="45" t="str">
        <f t="shared" si="1"/>
        <v>Palm_SR-7_SR-5</v>
      </c>
      <c r="C106" s="29" t="str">
        <f>'Table 1'!A99</f>
        <v>Palm City Rd</v>
      </c>
      <c r="D106" s="29" t="str">
        <f>'Table 1'!B99</f>
        <v>SR-714</v>
      </c>
      <c r="E106" s="29" t="str">
        <f>'Table 1'!C99</f>
        <v>SR-5</v>
      </c>
      <c r="F106" s="44"/>
      <c r="G106" s="44"/>
      <c r="H106" s="44"/>
      <c r="I106" s="44"/>
      <c r="J106" s="44"/>
      <c r="K106" s="29" t="str">
        <f>'Table 1'!D99</f>
        <v>C3R</v>
      </c>
      <c r="L106" s="29"/>
      <c r="M106" s="44"/>
      <c r="N106" s="46">
        <f>'Table 1'!E99</f>
        <v>890</v>
      </c>
      <c r="O106" s="44"/>
      <c r="P106" s="44"/>
      <c r="Q106" s="44"/>
      <c r="R106" s="29">
        <f>'Table 1'!F99</f>
        <v>7871</v>
      </c>
      <c r="S106" s="44"/>
      <c r="T106" s="29" t="str">
        <f>'Table 1'!H99</f>
        <v>C</v>
      </c>
      <c r="U106" s="29"/>
      <c r="V106" s="29"/>
      <c r="W106" s="29"/>
      <c r="X106" s="29"/>
      <c r="Y106" s="44"/>
      <c r="Z106" s="44"/>
      <c r="AA106" s="44"/>
      <c r="AB106" s="44"/>
      <c r="AC106" s="44"/>
      <c r="AD106" s="44"/>
      <c r="AE106" s="46">
        <f>'Table 1'!G99</f>
        <v>394</v>
      </c>
      <c r="AF106" s="44"/>
      <c r="AG106" s="44"/>
      <c r="AH106" s="44"/>
      <c r="AI106" s="47">
        <f>'Table 1'!I99*100</f>
        <v>0.5</v>
      </c>
      <c r="AJ106" s="44"/>
      <c r="AK106" s="44"/>
      <c r="AL106" s="44"/>
      <c r="AM106" s="44"/>
    </row>
    <row r="107" spans="2:39" ht="13.8" x14ac:dyDescent="0.25">
      <c r="B107" s="45" t="str">
        <f t="shared" si="1"/>
        <v>Palm_CR-7_Indi</v>
      </c>
      <c r="C107" s="29" t="str">
        <f>'Table 1'!A100</f>
        <v>Palmer St</v>
      </c>
      <c r="D107" s="29" t="str">
        <f>'Table 1'!B100</f>
        <v>CR-707</v>
      </c>
      <c r="E107" s="29" t="str">
        <f>'Table 1'!C100</f>
        <v>Indian River Dr</v>
      </c>
      <c r="F107" s="44"/>
      <c r="G107" s="44"/>
      <c r="H107" s="44"/>
      <c r="I107" s="44"/>
      <c r="J107" s="44"/>
      <c r="K107" s="29" t="str">
        <f>'Table 1'!D100</f>
        <v>C3R</v>
      </c>
      <c r="L107" s="29"/>
      <c r="M107" s="44"/>
      <c r="N107" s="46">
        <f>'Table 1'!E100</f>
        <v>1110</v>
      </c>
      <c r="O107" s="44"/>
      <c r="P107" s="44"/>
      <c r="Q107" s="44"/>
      <c r="R107" s="29">
        <f>'Table 1'!F100</f>
        <v>3375</v>
      </c>
      <c r="S107" s="44"/>
      <c r="T107" s="29" t="str">
        <f>'Table 1'!H100</f>
        <v>C</v>
      </c>
      <c r="U107" s="29"/>
      <c r="V107" s="29"/>
      <c r="W107" s="29"/>
      <c r="X107" s="29"/>
      <c r="Y107" s="44"/>
      <c r="Z107" s="44"/>
      <c r="AA107" s="44"/>
      <c r="AB107" s="44"/>
      <c r="AC107" s="44"/>
      <c r="AD107" s="44"/>
      <c r="AE107" s="46">
        <f>'Table 1'!G100</f>
        <v>212</v>
      </c>
      <c r="AF107" s="44"/>
      <c r="AG107" s="44"/>
      <c r="AH107" s="44"/>
      <c r="AI107" s="47">
        <f>'Table 1'!I100*100</f>
        <v>2.1</v>
      </c>
      <c r="AJ107" s="44"/>
      <c r="AK107" s="44"/>
      <c r="AL107" s="44"/>
      <c r="AM107" s="44"/>
    </row>
    <row r="108" spans="2:39" ht="13.8" x14ac:dyDescent="0.25">
      <c r="B108" s="45" t="str">
        <f t="shared" si="1"/>
        <v>Pine_CR-7_SR-7</v>
      </c>
      <c r="C108" s="29" t="str">
        <f>'Table 1'!A101</f>
        <v>Pineapple Wy</v>
      </c>
      <c r="D108" s="29" t="str">
        <f>'Table 1'!B101</f>
        <v>CR-707A(Jensen Beach Blvd.)</v>
      </c>
      <c r="E108" s="29" t="str">
        <f>'Table 1'!C101</f>
        <v>SR-732</v>
      </c>
      <c r="F108" s="44"/>
      <c r="G108" s="44"/>
      <c r="H108" s="44"/>
      <c r="I108" s="44"/>
      <c r="J108" s="44"/>
      <c r="K108" s="29" t="str">
        <f>'Table 1'!D101</f>
        <v>C4</v>
      </c>
      <c r="L108" s="29"/>
      <c r="M108" s="44"/>
      <c r="N108" s="46">
        <f>'Table 1'!E101</f>
        <v>870</v>
      </c>
      <c r="O108" s="44"/>
      <c r="P108" s="44"/>
      <c r="Q108" s="44"/>
      <c r="R108" s="29">
        <f>'Table 1'!F101</f>
        <v>11309</v>
      </c>
      <c r="S108" s="44"/>
      <c r="T108" s="29" t="str">
        <f>'Table 1'!H101</f>
        <v>TCEA</v>
      </c>
      <c r="U108" s="29"/>
      <c r="V108" s="29"/>
      <c r="W108" s="29"/>
      <c r="X108" s="29"/>
      <c r="Y108" s="44"/>
      <c r="Z108" s="44"/>
      <c r="AA108" s="44"/>
      <c r="AB108" s="44"/>
      <c r="AC108" s="44"/>
      <c r="AD108" s="44"/>
      <c r="AE108" s="46">
        <f>'Table 1'!G101</f>
        <v>608</v>
      </c>
      <c r="AF108" s="44"/>
      <c r="AG108" s="44"/>
      <c r="AH108" s="44"/>
      <c r="AI108" s="47">
        <f>'Table 1'!I101*100</f>
        <v>0.5</v>
      </c>
      <c r="AJ108" s="44"/>
      <c r="AK108" s="44"/>
      <c r="AL108" s="44"/>
      <c r="AM108" s="44"/>
    </row>
    <row r="109" spans="2:39" ht="13.8" x14ac:dyDescent="0.25">
      <c r="B109" s="45" t="str">
        <f t="shared" si="1"/>
        <v>Pome_SR-7_Will</v>
      </c>
      <c r="C109" s="29" t="str">
        <f>'Table 1'!A102</f>
        <v>Pomeroy St</v>
      </c>
      <c r="D109" s="29" t="str">
        <f>'Table 1'!B102</f>
        <v>SR-76</v>
      </c>
      <c r="E109" s="29" t="str">
        <f>'Table 1'!C102</f>
        <v>Willoughby Blvd</v>
      </c>
      <c r="F109" s="44"/>
      <c r="G109" s="44"/>
      <c r="H109" s="44"/>
      <c r="I109" s="44"/>
      <c r="J109" s="44"/>
      <c r="K109" s="29" t="str">
        <f>'Table 1'!D102</f>
        <v>C3R</v>
      </c>
      <c r="L109" s="29"/>
      <c r="M109" s="44"/>
      <c r="N109" s="46">
        <f>'Table 1'!E102</f>
        <v>1110</v>
      </c>
      <c r="O109" s="44"/>
      <c r="P109" s="44"/>
      <c r="Q109" s="44"/>
      <c r="R109" s="29">
        <f>'Table 1'!F102</f>
        <v>10189</v>
      </c>
      <c r="S109" s="44"/>
      <c r="T109" s="29" t="str">
        <f>'Table 1'!H102</f>
        <v>C</v>
      </c>
      <c r="U109" s="29"/>
      <c r="V109" s="29"/>
      <c r="W109" s="29"/>
      <c r="X109" s="29"/>
      <c r="Y109" s="44"/>
      <c r="Z109" s="44"/>
      <c r="AA109" s="44"/>
      <c r="AB109" s="44"/>
      <c r="AC109" s="44"/>
      <c r="AD109" s="44"/>
      <c r="AE109" s="46">
        <f>'Table 1'!G102</f>
        <v>510</v>
      </c>
      <c r="AF109" s="44"/>
      <c r="AG109" s="44"/>
      <c r="AH109" s="44"/>
      <c r="AI109" s="47">
        <f>'Table 1'!I102*100</f>
        <v>3.8</v>
      </c>
      <c r="AJ109" s="44"/>
      <c r="AK109" s="44"/>
      <c r="AL109" s="44"/>
      <c r="AM109" s="44"/>
    </row>
    <row r="110" spans="2:39" ht="13.8" x14ac:dyDescent="0.25">
      <c r="B110" s="45" t="str">
        <f t="shared" si="1"/>
        <v>Pome_Will_SR-5</v>
      </c>
      <c r="C110" s="29" t="str">
        <f>'Table 1'!A103</f>
        <v>Pomeroy St</v>
      </c>
      <c r="D110" s="29" t="str">
        <f>'Table 1'!B103</f>
        <v>Willoughby Blvd</v>
      </c>
      <c r="E110" s="29" t="str">
        <f>'Table 1'!C103</f>
        <v>SR-5</v>
      </c>
      <c r="F110" s="44"/>
      <c r="G110" s="44"/>
      <c r="H110" s="44"/>
      <c r="I110" s="44"/>
      <c r="J110" s="44"/>
      <c r="K110" s="29" t="str">
        <f>'Table 1'!D103</f>
        <v>C4</v>
      </c>
      <c r="L110" s="29"/>
      <c r="M110" s="44"/>
      <c r="N110" s="46">
        <f>'Table 1'!E103</f>
        <v>915</v>
      </c>
      <c r="O110" s="44"/>
      <c r="P110" s="44"/>
      <c r="Q110" s="44"/>
      <c r="R110" s="29">
        <f>'Table 1'!F103</f>
        <v>9651</v>
      </c>
      <c r="S110" s="44"/>
      <c r="T110" s="29" t="str">
        <f>'Table 1'!H103</f>
        <v>D</v>
      </c>
      <c r="U110" s="29"/>
      <c r="V110" s="29"/>
      <c r="W110" s="29"/>
      <c r="X110" s="29"/>
      <c r="Y110" s="44"/>
      <c r="Z110" s="44"/>
      <c r="AA110" s="44"/>
      <c r="AB110" s="44"/>
      <c r="AC110" s="44"/>
      <c r="AD110" s="44"/>
      <c r="AE110" s="46">
        <f>'Table 1'!G103</f>
        <v>486</v>
      </c>
      <c r="AF110" s="44"/>
      <c r="AG110" s="44"/>
      <c r="AH110" s="44"/>
      <c r="AI110" s="47">
        <f>'Table 1'!I103*100</f>
        <v>2.7</v>
      </c>
      <c r="AJ110" s="44"/>
      <c r="AK110" s="44"/>
      <c r="AL110" s="44"/>
      <c r="AM110" s="44"/>
    </row>
    <row r="111" spans="2:39" ht="13.8" x14ac:dyDescent="0.25">
      <c r="B111" s="45" t="str">
        <f t="shared" si="1"/>
        <v>Sale_SR-7_Will</v>
      </c>
      <c r="C111" s="29" t="str">
        <f>'Table 1'!A104</f>
        <v>Salerno Rd</v>
      </c>
      <c r="D111" s="29" t="str">
        <f>'Table 1'!B104</f>
        <v>SR-76</v>
      </c>
      <c r="E111" s="29" t="str">
        <f>'Table 1'!C104</f>
        <v>Willoughby Blvd</v>
      </c>
      <c r="F111" s="44"/>
      <c r="G111" s="44"/>
      <c r="H111" s="44"/>
      <c r="I111" s="44"/>
      <c r="J111" s="44"/>
      <c r="K111" s="29" t="str">
        <f>'Table 1'!D104</f>
        <v>C3R</v>
      </c>
      <c r="L111" s="29"/>
      <c r="M111" s="44"/>
      <c r="N111" s="46">
        <f>'Table 1'!E104</f>
        <v>1110</v>
      </c>
      <c r="O111" s="44"/>
      <c r="P111" s="44"/>
      <c r="Q111" s="44"/>
      <c r="R111" s="29">
        <f>'Table 1'!F104</f>
        <v>8049</v>
      </c>
      <c r="S111" s="44"/>
      <c r="T111" s="29" t="str">
        <f>'Table 1'!H104</f>
        <v>C</v>
      </c>
      <c r="U111" s="29"/>
      <c r="V111" s="29"/>
      <c r="W111" s="29"/>
      <c r="X111" s="29"/>
      <c r="Y111" s="44"/>
      <c r="Z111" s="44"/>
      <c r="AA111" s="44"/>
      <c r="AB111" s="44"/>
      <c r="AC111" s="44"/>
      <c r="AD111" s="44"/>
      <c r="AE111" s="46">
        <f>'Table 1'!G104</f>
        <v>434</v>
      </c>
      <c r="AF111" s="44"/>
      <c r="AG111" s="44"/>
      <c r="AH111" s="44"/>
      <c r="AI111" s="47">
        <f>'Table 1'!I104*100</f>
        <v>0.70000000000000007</v>
      </c>
      <c r="AJ111" s="44"/>
      <c r="AK111" s="44"/>
      <c r="AL111" s="44"/>
      <c r="AM111" s="44"/>
    </row>
    <row r="112" spans="2:39" ht="13.8" x14ac:dyDescent="0.25">
      <c r="B112" s="45" t="str">
        <f t="shared" si="1"/>
        <v>Sale_Will_SR-5</v>
      </c>
      <c r="C112" s="29" t="str">
        <f>'Table 1'!A105</f>
        <v>Salerno Rd</v>
      </c>
      <c r="D112" s="29" t="str">
        <f>'Table 1'!B105</f>
        <v>Willoughby Blvd</v>
      </c>
      <c r="E112" s="29" t="str">
        <f>'Table 1'!C105</f>
        <v>SR-5</v>
      </c>
      <c r="F112" s="44"/>
      <c r="G112" s="44"/>
      <c r="H112" s="44"/>
      <c r="I112" s="44"/>
      <c r="J112" s="44"/>
      <c r="K112" s="29" t="str">
        <f>'Table 1'!D105</f>
        <v>C4</v>
      </c>
      <c r="L112" s="29"/>
      <c r="M112" s="44"/>
      <c r="N112" s="46">
        <f>'Table 1'!E105</f>
        <v>915</v>
      </c>
      <c r="O112" s="44"/>
      <c r="P112" s="44"/>
      <c r="Q112" s="44"/>
      <c r="R112" s="29">
        <f>'Table 1'!F105</f>
        <v>9026</v>
      </c>
      <c r="S112" s="44"/>
      <c r="T112" s="29" t="str">
        <f>'Table 1'!H105</f>
        <v>D</v>
      </c>
      <c r="U112" s="29"/>
      <c r="V112" s="29"/>
      <c r="W112" s="29"/>
      <c r="X112" s="29"/>
      <c r="Y112" s="44"/>
      <c r="Z112" s="44"/>
      <c r="AA112" s="44"/>
      <c r="AB112" s="44"/>
      <c r="AC112" s="44"/>
      <c r="AD112" s="44"/>
      <c r="AE112" s="46">
        <f>'Table 1'!G105</f>
        <v>544</v>
      </c>
      <c r="AF112" s="44"/>
      <c r="AG112" s="44"/>
      <c r="AH112" s="44"/>
      <c r="AI112" s="47">
        <f>'Table 1'!I105*100</f>
        <v>0.5</v>
      </c>
      <c r="AJ112" s="44"/>
      <c r="AK112" s="44"/>
      <c r="AL112" s="44"/>
      <c r="AM112" s="44"/>
    </row>
    <row r="113" spans="2:39" ht="13.8" x14ac:dyDescent="0.25">
      <c r="B113" s="45" t="str">
        <f t="shared" si="1"/>
        <v>Sale_SR-5_Comm</v>
      </c>
      <c r="C113" s="29" t="str">
        <f>'Table 1'!A106</f>
        <v>Salerno Rd</v>
      </c>
      <c r="D113" s="29" t="str">
        <f>'Table 1'!B106</f>
        <v>SR-5</v>
      </c>
      <c r="E113" s="29" t="str">
        <f>'Table 1'!C106</f>
        <v>Commerce Ave</v>
      </c>
      <c r="F113" s="44"/>
      <c r="G113" s="44"/>
      <c r="H113" s="44"/>
      <c r="I113" s="44"/>
      <c r="J113" s="44"/>
      <c r="K113" s="29" t="str">
        <f>'Table 1'!D106</f>
        <v>C4</v>
      </c>
      <c r="L113" s="29"/>
      <c r="M113" s="44"/>
      <c r="N113" s="46">
        <f>'Table 1'!E106</f>
        <v>870</v>
      </c>
      <c r="O113" s="44"/>
      <c r="P113" s="44"/>
      <c r="Q113" s="44"/>
      <c r="R113" s="29">
        <f>'Table 1'!F106</f>
        <v>8798</v>
      </c>
      <c r="S113" s="44"/>
      <c r="T113" s="29" t="str">
        <f>'Table 1'!H106</f>
        <v>TCEA</v>
      </c>
      <c r="U113" s="29"/>
      <c r="V113" s="29"/>
      <c r="W113" s="29"/>
      <c r="X113" s="29"/>
      <c r="Y113" s="44"/>
      <c r="Z113" s="44"/>
      <c r="AA113" s="44"/>
      <c r="AB113" s="44"/>
      <c r="AC113" s="44"/>
      <c r="AD113" s="44"/>
      <c r="AE113" s="46">
        <f>'Table 1'!G106</f>
        <v>373</v>
      </c>
      <c r="AF113" s="44"/>
      <c r="AG113" s="44"/>
      <c r="AH113" s="44"/>
      <c r="AI113" s="47">
        <f>'Table 1'!I106*100</f>
        <v>0.5</v>
      </c>
      <c r="AJ113" s="44"/>
      <c r="AK113" s="44"/>
      <c r="AL113" s="44"/>
      <c r="AM113" s="44"/>
    </row>
    <row r="114" spans="2:39" ht="13.8" x14ac:dyDescent="0.25">
      <c r="B114" s="45" t="str">
        <f t="shared" si="1"/>
        <v>Sale_Comm_CR-A</v>
      </c>
      <c r="C114" s="29" t="str">
        <f>'Table 1'!A107</f>
        <v>Salerno Rd</v>
      </c>
      <c r="D114" s="29" t="str">
        <f>'Table 1'!B107</f>
        <v>Commerce Ave</v>
      </c>
      <c r="E114" s="29" t="str">
        <f>'Table 1'!C107</f>
        <v>CR-A1A</v>
      </c>
      <c r="F114" s="44"/>
      <c r="G114" s="44"/>
      <c r="H114" s="44"/>
      <c r="I114" s="44"/>
      <c r="J114" s="44"/>
      <c r="K114" s="29" t="str">
        <f>'Table 1'!D107</f>
        <v>C4</v>
      </c>
      <c r="L114" s="29"/>
      <c r="M114" s="44"/>
      <c r="N114" s="46">
        <f>'Table 1'!E107</f>
        <v>870</v>
      </c>
      <c r="O114" s="44"/>
      <c r="P114" s="44"/>
      <c r="Q114" s="44"/>
      <c r="R114" s="29">
        <f>'Table 1'!F107</f>
        <v>7166</v>
      </c>
      <c r="S114" s="44"/>
      <c r="T114" s="29" t="str">
        <f>'Table 1'!H107</f>
        <v>TCEA</v>
      </c>
      <c r="U114" s="29"/>
      <c r="V114" s="29"/>
      <c r="W114" s="29"/>
      <c r="X114" s="29"/>
      <c r="Y114" s="44"/>
      <c r="Z114" s="44"/>
      <c r="AA114" s="44"/>
      <c r="AB114" s="44"/>
      <c r="AC114" s="44"/>
      <c r="AD114" s="44"/>
      <c r="AE114" s="46">
        <f>'Table 1'!G107</f>
        <v>290</v>
      </c>
      <c r="AF114" s="44"/>
      <c r="AG114" s="44"/>
      <c r="AH114" s="44"/>
      <c r="AI114" s="47">
        <f>'Table 1'!I107*100</f>
        <v>0.5</v>
      </c>
      <c r="AJ114" s="44"/>
      <c r="AK114" s="44"/>
      <c r="AL114" s="44"/>
      <c r="AM114" s="44"/>
    </row>
    <row r="115" spans="2:39" ht="13.8" x14ac:dyDescent="0.25">
      <c r="B115" s="45" t="str">
        <f t="shared" si="1"/>
        <v>Seab_Doub_SR-5</v>
      </c>
      <c r="C115" s="29" t="str">
        <f>'Table 1'!A108</f>
        <v>Seabranch Blvd</v>
      </c>
      <c r="D115" s="29" t="str">
        <f>'Table 1'!B108</f>
        <v>Doubletree Dr</v>
      </c>
      <c r="E115" s="29" t="str">
        <f>'Table 1'!C108</f>
        <v>SR-5</v>
      </c>
      <c r="F115" s="44"/>
      <c r="G115" s="44"/>
      <c r="H115" s="44"/>
      <c r="I115" s="44"/>
      <c r="J115" s="44"/>
      <c r="K115" s="29" t="str">
        <f>'Table 1'!D108</f>
        <v>C3R</v>
      </c>
      <c r="L115" s="29"/>
      <c r="M115" s="44"/>
      <c r="N115" s="46">
        <f>'Table 1'!E108</f>
        <v>1850</v>
      </c>
      <c r="O115" s="44"/>
      <c r="P115" s="44"/>
      <c r="Q115" s="44"/>
      <c r="R115" s="29">
        <f>'Table 1'!F108</f>
        <v>5904</v>
      </c>
      <c r="S115" s="44"/>
      <c r="T115" s="29" t="str">
        <f>'Table 1'!H108</f>
        <v>C</v>
      </c>
      <c r="U115" s="29"/>
      <c r="V115" s="29"/>
      <c r="W115" s="29"/>
      <c r="X115" s="29"/>
      <c r="Y115" s="44"/>
      <c r="Z115" s="44"/>
      <c r="AA115" s="44"/>
      <c r="AB115" s="44"/>
      <c r="AC115" s="44"/>
      <c r="AD115" s="44"/>
      <c r="AE115" s="46">
        <f>'Table 1'!G108</f>
        <v>269</v>
      </c>
      <c r="AF115" s="44"/>
      <c r="AG115" s="44"/>
      <c r="AH115" s="44"/>
      <c r="AI115" s="47">
        <f>'Table 1'!I108*100</f>
        <v>0.5</v>
      </c>
      <c r="AJ115" s="44"/>
      <c r="AK115" s="44"/>
      <c r="AL115" s="44"/>
      <c r="AM115" s="44"/>
    </row>
    <row r="116" spans="2:39" ht="13.8" x14ac:dyDescent="0.25">
      <c r="B116" s="45" t="str">
        <f t="shared" si="1"/>
        <v>Sewa_SR-A_Palm</v>
      </c>
      <c r="C116" s="29" t="str">
        <f>'Table 1'!A109</f>
        <v>Sewalls Pt Rd</v>
      </c>
      <c r="D116" s="29" t="str">
        <f>'Table 1'!B109</f>
        <v>SR-A1A</v>
      </c>
      <c r="E116" s="29" t="str">
        <f>'Table 1'!C109</f>
        <v>Palmer St</v>
      </c>
      <c r="F116" s="44"/>
      <c r="G116" s="44"/>
      <c r="H116" s="44"/>
      <c r="I116" s="44"/>
      <c r="J116" s="44"/>
      <c r="K116" s="29" t="str">
        <f>'Table 1'!D109</f>
        <v>C3R</v>
      </c>
      <c r="L116" s="29"/>
      <c r="M116" s="44"/>
      <c r="N116" s="46">
        <f>'Table 1'!E109</f>
        <v>1110</v>
      </c>
      <c r="O116" s="44"/>
      <c r="P116" s="44"/>
      <c r="Q116" s="44"/>
      <c r="R116" s="29">
        <f>'Table 1'!F109</f>
        <v>11397</v>
      </c>
      <c r="S116" s="44"/>
      <c r="T116" s="29" t="str">
        <f>'Table 1'!H109</f>
        <v>C</v>
      </c>
      <c r="U116" s="29"/>
      <c r="V116" s="29"/>
      <c r="W116" s="29"/>
      <c r="X116" s="29"/>
      <c r="Y116" s="44"/>
      <c r="Z116" s="44"/>
      <c r="AA116" s="44"/>
      <c r="AB116" s="44"/>
      <c r="AC116" s="44"/>
      <c r="AD116" s="44"/>
      <c r="AE116" s="46">
        <f>'Table 1'!G109</f>
        <v>476</v>
      </c>
      <c r="AF116" s="44"/>
      <c r="AG116" s="44"/>
      <c r="AH116" s="44"/>
      <c r="AI116" s="47">
        <f>'Table 1'!I109*100</f>
        <v>4.7</v>
      </c>
      <c r="AJ116" s="44"/>
      <c r="AK116" s="44"/>
      <c r="AL116" s="44"/>
      <c r="AM116" s="44"/>
    </row>
    <row r="117" spans="2:39" ht="13.8" x14ac:dyDescent="0.25">
      <c r="B117" s="45" t="str">
        <f t="shared" si="1"/>
        <v>Skyl_CR-7_CR-7</v>
      </c>
      <c r="C117" s="29" t="str">
        <f>'Table 1'!A110</f>
        <v>Skyline Dr</v>
      </c>
      <c r="D117" s="29" t="str">
        <f>'Table 1'!B110</f>
        <v>CR-707A</v>
      </c>
      <c r="E117" s="29" t="str">
        <f>'Table 1'!C110</f>
        <v>CR-707</v>
      </c>
      <c r="F117" s="44"/>
      <c r="G117" s="44"/>
      <c r="H117" s="44"/>
      <c r="I117" s="44"/>
      <c r="J117" s="44"/>
      <c r="K117" s="29" t="str">
        <f>'Table 1'!D110</f>
        <v>C3R</v>
      </c>
      <c r="L117" s="29"/>
      <c r="M117" s="44"/>
      <c r="N117" s="46">
        <f>'Table 1'!E110</f>
        <v>1110</v>
      </c>
      <c r="O117" s="44"/>
      <c r="P117" s="44"/>
      <c r="Q117" s="44"/>
      <c r="R117" s="29">
        <f>'Table 1'!F110</f>
        <v>1846</v>
      </c>
      <c r="S117" s="44"/>
      <c r="T117" s="29" t="str">
        <f>'Table 1'!H110</f>
        <v>C</v>
      </c>
      <c r="U117" s="29"/>
      <c r="V117" s="29"/>
      <c r="W117" s="29"/>
      <c r="X117" s="29"/>
      <c r="Y117" s="44"/>
      <c r="Z117" s="44"/>
      <c r="AA117" s="44"/>
      <c r="AB117" s="44"/>
      <c r="AC117" s="44"/>
      <c r="AD117" s="44"/>
      <c r="AE117" s="46">
        <f>'Table 1'!G110</f>
        <v>98</v>
      </c>
      <c r="AF117" s="44"/>
      <c r="AG117" s="44"/>
      <c r="AH117" s="44"/>
      <c r="AI117" s="47">
        <f>'Table 1'!I110*100</f>
        <v>3.1</v>
      </c>
      <c r="AJ117" s="44"/>
      <c r="AK117" s="44"/>
      <c r="AL117" s="44"/>
      <c r="AM117" s="44"/>
    </row>
    <row r="118" spans="2:39" ht="13.8" x14ac:dyDescent="0.25">
      <c r="B118" s="45" t="str">
        <f t="shared" si="1"/>
        <v>SR-5_Palm_CR-A</v>
      </c>
      <c r="C118" s="29" t="str">
        <f>'Table 1'!A111</f>
        <v>SR-5 (US-1)</v>
      </c>
      <c r="D118" s="29" t="str">
        <f>'Table 1'!B111</f>
        <v>Palm Beach County</v>
      </c>
      <c r="E118" s="29" t="str">
        <f>'Table 1'!C111</f>
        <v>CR-A1A</v>
      </c>
      <c r="F118" s="44"/>
      <c r="G118" s="44"/>
      <c r="H118" s="44"/>
      <c r="I118" s="44"/>
      <c r="J118" s="44"/>
      <c r="K118" s="29" t="str">
        <f>'Table 1'!D111</f>
        <v>C2</v>
      </c>
      <c r="L118" s="29"/>
      <c r="M118" s="44"/>
      <c r="N118" s="46">
        <f>'Table 1'!E111</f>
        <v>2910</v>
      </c>
      <c r="O118" s="44"/>
      <c r="P118" s="44"/>
      <c r="Q118" s="44"/>
      <c r="R118" s="29">
        <f>'Table 1'!F111</f>
        <v>19846</v>
      </c>
      <c r="S118" s="44"/>
      <c r="T118" s="29" t="str">
        <f>'Table 1'!H111</f>
        <v>A/B</v>
      </c>
      <c r="U118" s="29"/>
      <c r="V118" s="29"/>
      <c r="W118" s="29"/>
      <c r="X118" s="29"/>
      <c r="Y118" s="44"/>
      <c r="Z118" s="44"/>
      <c r="AA118" s="44"/>
      <c r="AB118" s="44"/>
      <c r="AC118" s="44"/>
      <c r="AD118" s="44"/>
      <c r="AE118" s="46">
        <f>'Table 1'!G111</f>
        <v>916</v>
      </c>
      <c r="AF118" s="44"/>
      <c r="AG118" s="44"/>
      <c r="AH118" s="44"/>
      <c r="AI118" s="47">
        <f>'Table 1'!I111*100</f>
        <v>0.5</v>
      </c>
      <c r="AJ118" s="44"/>
      <c r="AK118" s="44"/>
      <c r="AL118" s="44"/>
      <c r="AM118" s="44"/>
    </row>
    <row r="119" spans="2:39" ht="13.8" x14ac:dyDescent="0.25">
      <c r="B119" s="45" t="str">
        <f t="shared" si="1"/>
        <v>SR-5_CR-A_CR-7</v>
      </c>
      <c r="C119" s="29" t="str">
        <f>'Table 1'!A112</f>
        <v>SR-5 (US-1)</v>
      </c>
      <c r="D119" s="29" t="str">
        <f>'Table 1'!B112</f>
        <v>CR-A1A</v>
      </c>
      <c r="E119" s="29" t="str">
        <f>'Table 1'!C112</f>
        <v>CR-708</v>
      </c>
      <c r="F119" s="44"/>
      <c r="G119" s="44"/>
      <c r="H119" s="44"/>
      <c r="I119" s="44"/>
      <c r="J119" s="44"/>
      <c r="K119" s="29" t="str">
        <f>'Table 1'!D112</f>
        <v>C3R</v>
      </c>
      <c r="L119" s="29"/>
      <c r="M119" s="44"/>
      <c r="N119" s="46">
        <f>'Table 1'!E112</f>
        <v>1850</v>
      </c>
      <c r="O119" s="44"/>
      <c r="P119" s="44"/>
      <c r="Q119" s="44"/>
      <c r="R119" s="29">
        <f>'Table 1'!F112</f>
        <v>16983</v>
      </c>
      <c r="S119" s="44"/>
      <c r="T119" s="29" t="str">
        <f>'Table 1'!H112</f>
        <v>C</v>
      </c>
      <c r="U119" s="29"/>
      <c r="V119" s="29"/>
      <c r="W119" s="29"/>
      <c r="X119" s="29"/>
      <c r="Y119" s="44"/>
      <c r="Z119" s="44"/>
      <c r="AA119" s="44"/>
      <c r="AB119" s="44"/>
      <c r="AC119" s="44"/>
      <c r="AD119" s="44"/>
      <c r="AE119" s="46">
        <f>'Table 1'!G112</f>
        <v>876</v>
      </c>
      <c r="AF119" s="44"/>
      <c r="AG119" s="44"/>
      <c r="AH119" s="44"/>
      <c r="AI119" s="47">
        <f>'Table 1'!I112*100</f>
        <v>0.5</v>
      </c>
      <c r="AJ119" s="44"/>
      <c r="AK119" s="44"/>
      <c r="AL119" s="44"/>
      <c r="AM119" s="44"/>
    </row>
    <row r="120" spans="2:39" ht="13.8" x14ac:dyDescent="0.25">
      <c r="B120" s="45" t="str">
        <f t="shared" si="1"/>
        <v>SR-5_CR-7_Ospr</v>
      </c>
      <c r="C120" s="29" t="str">
        <f>'Table 1'!A113</f>
        <v>SR-5 (US-1)</v>
      </c>
      <c r="D120" s="29" t="str">
        <f>'Table 1'!B113</f>
        <v>CR-708</v>
      </c>
      <c r="E120" s="29" t="str">
        <f>'Table 1'!C113</f>
        <v>Osprey St</v>
      </c>
      <c r="F120" s="44"/>
      <c r="G120" s="44"/>
      <c r="H120" s="44"/>
      <c r="I120" s="44"/>
      <c r="J120" s="44"/>
      <c r="K120" s="29" t="str">
        <f>'Table 1'!D113</f>
        <v>C3C</v>
      </c>
      <c r="L120" s="29"/>
      <c r="M120" s="44"/>
      <c r="N120" s="46">
        <f>'Table 1'!E113</f>
        <v>1810</v>
      </c>
      <c r="O120" s="44"/>
      <c r="P120" s="44"/>
      <c r="Q120" s="44"/>
      <c r="R120" s="29">
        <f>'Table 1'!F113</f>
        <v>23762</v>
      </c>
      <c r="S120" s="44"/>
      <c r="T120" s="29" t="str">
        <f>'Table 1'!H113</f>
        <v>D</v>
      </c>
      <c r="U120" s="29"/>
      <c r="V120" s="29"/>
      <c r="W120" s="29"/>
      <c r="X120" s="29"/>
      <c r="Y120" s="44"/>
      <c r="Z120" s="44"/>
      <c r="AA120" s="44"/>
      <c r="AB120" s="44"/>
      <c r="AC120" s="44"/>
      <c r="AD120" s="44"/>
      <c r="AE120" s="46">
        <f>'Table 1'!G113</f>
        <v>1551</v>
      </c>
      <c r="AF120" s="44"/>
      <c r="AG120" s="44"/>
      <c r="AH120" s="44"/>
      <c r="AI120" s="47">
        <f>'Table 1'!I113*100</f>
        <v>0.5</v>
      </c>
      <c r="AJ120" s="44"/>
      <c r="AK120" s="44"/>
      <c r="AL120" s="44"/>
      <c r="AM120" s="44"/>
    </row>
    <row r="121" spans="2:39" ht="13.8" x14ac:dyDescent="0.25">
      <c r="B121" s="45" t="str">
        <f t="shared" si="1"/>
        <v>SR-5_Ospr_Seab</v>
      </c>
      <c r="C121" s="29" t="str">
        <f>'Table 1'!A114</f>
        <v>SR-5 (US-1)</v>
      </c>
      <c r="D121" s="29" t="str">
        <f>'Table 1'!B114</f>
        <v>Osprey St</v>
      </c>
      <c r="E121" s="29" t="str">
        <f>'Table 1'!C114</f>
        <v>Seabranch Blvd</v>
      </c>
      <c r="F121" s="44"/>
      <c r="G121" s="44"/>
      <c r="H121" s="44"/>
      <c r="I121" s="44"/>
      <c r="J121" s="44"/>
      <c r="K121" s="29" t="str">
        <f>'Table 1'!D114</f>
        <v>C3R</v>
      </c>
      <c r="L121" s="29"/>
      <c r="M121" s="44"/>
      <c r="N121" s="46">
        <f>'Table 1'!E114</f>
        <v>1850</v>
      </c>
      <c r="O121" s="44"/>
      <c r="P121" s="44"/>
      <c r="Q121" s="44"/>
      <c r="R121" s="29">
        <f>'Table 1'!F114</f>
        <v>25850</v>
      </c>
      <c r="S121" s="44"/>
      <c r="T121" s="29" t="str">
        <f>'Table 1'!H114</f>
        <v>C</v>
      </c>
      <c r="U121" s="29"/>
      <c r="V121" s="29"/>
      <c r="W121" s="29"/>
      <c r="X121" s="29"/>
      <c r="Y121" s="44"/>
      <c r="Z121" s="44"/>
      <c r="AA121" s="44"/>
      <c r="AB121" s="44"/>
      <c r="AC121" s="44"/>
      <c r="AD121" s="44"/>
      <c r="AE121" s="46">
        <f>'Table 1'!G114</f>
        <v>1158</v>
      </c>
      <c r="AF121" s="44"/>
      <c r="AG121" s="44"/>
      <c r="AH121" s="44"/>
      <c r="AI121" s="47">
        <f>'Table 1'!I114*100</f>
        <v>2.2999999999999998</v>
      </c>
      <c r="AJ121" s="44"/>
      <c r="AK121" s="44"/>
      <c r="AL121" s="44"/>
      <c r="AM121" s="44"/>
    </row>
    <row r="122" spans="2:39" ht="13.8" x14ac:dyDescent="0.25">
      <c r="B122" s="45" t="str">
        <f t="shared" si="1"/>
        <v>SR-5_Seab_Cove</v>
      </c>
      <c r="C122" s="29" t="str">
        <f>'Table 1'!A115</f>
        <v>SR-5 (US-1)</v>
      </c>
      <c r="D122" s="29" t="str">
        <f>'Table 1'!B115</f>
        <v>Seabranch Blvd</v>
      </c>
      <c r="E122" s="29" t="str">
        <f>'Table 1'!C115</f>
        <v>Cove Rd</v>
      </c>
      <c r="F122" s="44"/>
      <c r="G122" s="44"/>
      <c r="H122" s="44"/>
      <c r="I122" s="44"/>
      <c r="J122" s="44"/>
      <c r="K122" s="29" t="str">
        <f>'Table 1'!D115</f>
        <v>C3C</v>
      </c>
      <c r="L122" s="29"/>
      <c r="M122" s="44"/>
      <c r="N122" s="46">
        <f>'Table 1'!E115</f>
        <v>2680</v>
      </c>
      <c r="O122" s="44"/>
      <c r="P122" s="44"/>
      <c r="Q122" s="44"/>
      <c r="R122" s="29">
        <f>'Table 1'!F115</f>
        <v>30175</v>
      </c>
      <c r="S122" s="44"/>
      <c r="T122" s="29" t="str">
        <f>'Table 1'!H115</f>
        <v>C</v>
      </c>
      <c r="U122" s="29"/>
      <c r="V122" s="29"/>
      <c r="W122" s="29"/>
      <c r="X122" s="29"/>
      <c r="Y122" s="44"/>
      <c r="Z122" s="44"/>
      <c r="AA122" s="44"/>
      <c r="AB122" s="44"/>
      <c r="AC122" s="44"/>
      <c r="AD122" s="44"/>
      <c r="AE122" s="46">
        <f>'Table 1'!G115</f>
        <v>1411</v>
      </c>
      <c r="AF122" s="44"/>
      <c r="AG122" s="44"/>
      <c r="AH122" s="44"/>
      <c r="AI122" s="47">
        <f>'Table 1'!I115*100</f>
        <v>0.5</v>
      </c>
      <c r="AJ122" s="44"/>
      <c r="AK122" s="44"/>
      <c r="AL122" s="44"/>
      <c r="AM122" s="44"/>
    </row>
    <row r="123" spans="2:39" ht="13.8" x14ac:dyDescent="0.25">
      <c r="B123" s="45" t="str">
        <f t="shared" si="1"/>
        <v>SR-5_Cove_Sale</v>
      </c>
      <c r="C123" s="29" t="str">
        <f>'Table 1'!A116</f>
        <v>SR-5 (US-1)</v>
      </c>
      <c r="D123" s="29" t="str">
        <f>'Table 1'!B116</f>
        <v>Cove Rd</v>
      </c>
      <c r="E123" s="29" t="str">
        <f>'Table 1'!C116</f>
        <v>Salerno Rd</v>
      </c>
      <c r="F123" s="44"/>
      <c r="G123" s="44"/>
      <c r="H123" s="44"/>
      <c r="I123" s="44"/>
      <c r="J123" s="44"/>
      <c r="K123" s="29" t="str">
        <f>'Table 1'!D116</f>
        <v>C3C</v>
      </c>
      <c r="L123" s="29"/>
      <c r="M123" s="44"/>
      <c r="N123" s="46">
        <f>'Table 1'!E116</f>
        <v>2680</v>
      </c>
      <c r="O123" s="44"/>
      <c r="P123" s="44"/>
      <c r="Q123" s="44"/>
      <c r="R123" s="29">
        <f>'Table 1'!F116</f>
        <v>31914</v>
      </c>
      <c r="S123" s="44"/>
      <c r="T123" s="29" t="str">
        <f>'Table 1'!H116</f>
        <v>C</v>
      </c>
      <c r="U123" s="29"/>
      <c r="V123" s="29"/>
      <c r="W123" s="29"/>
      <c r="X123" s="29"/>
      <c r="Y123" s="44"/>
      <c r="Z123" s="44"/>
      <c r="AA123" s="44"/>
      <c r="AB123" s="44"/>
      <c r="AC123" s="44"/>
      <c r="AD123" s="44"/>
      <c r="AE123" s="46">
        <f>'Table 1'!G116</f>
        <v>1465</v>
      </c>
      <c r="AF123" s="44"/>
      <c r="AG123" s="44"/>
      <c r="AH123" s="44"/>
      <c r="AI123" s="47">
        <f>'Table 1'!I116*100</f>
        <v>0.5</v>
      </c>
      <c r="AJ123" s="44"/>
      <c r="AK123" s="44"/>
      <c r="AL123" s="44"/>
      <c r="AM123" s="44"/>
    </row>
    <row r="124" spans="2:39" ht="13.8" x14ac:dyDescent="0.25">
      <c r="B124" s="45" t="str">
        <f t="shared" si="1"/>
        <v>SR-5_Sale_Monr</v>
      </c>
      <c r="C124" s="29" t="str">
        <f>'Table 1'!A117</f>
        <v>SR-5 (US-1)</v>
      </c>
      <c r="D124" s="29" t="str">
        <f>'Table 1'!B117</f>
        <v>Salerno Rd</v>
      </c>
      <c r="E124" s="29" t="str">
        <f>'Table 1'!C117</f>
        <v>Monroe St</v>
      </c>
      <c r="F124" s="44"/>
      <c r="G124" s="44"/>
      <c r="H124" s="44"/>
      <c r="I124" s="44"/>
      <c r="J124" s="44"/>
      <c r="K124" s="29" t="str">
        <f>'Table 1'!D117</f>
        <v>C3C</v>
      </c>
      <c r="L124" s="29"/>
      <c r="M124" s="44"/>
      <c r="N124" s="46">
        <f>'Table 1'!E117</f>
        <v>2680</v>
      </c>
      <c r="O124" s="44"/>
      <c r="P124" s="44"/>
      <c r="Q124" s="44"/>
      <c r="R124" s="29">
        <f>'Table 1'!F117</f>
        <v>39484</v>
      </c>
      <c r="S124" s="44"/>
      <c r="T124" s="29" t="str">
        <f>'Table 1'!H117</f>
        <v>C</v>
      </c>
      <c r="U124" s="29"/>
      <c r="V124" s="29"/>
      <c r="W124" s="29"/>
      <c r="X124" s="29"/>
      <c r="Y124" s="44"/>
      <c r="Z124" s="44"/>
      <c r="AA124" s="44"/>
      <c r="AB124" s="44"/>
      <c r="AC124" s="44"/>
      <c r="AD124" s="44"/>
      <c r="AE124" s="46">
        <f>'Table 1'!G117</f>
        <v>1704</v>
      </c>
      <c r="AF124" s="44"/>
      <c r="AG124" s="44"/>
      <c r="AH124" s="44"/>
      <c r="AI124" s="47">
        <f>'Table 1'!I117*100</f>
        <v>0.5</v>
      </c>
      <c r="AJ124" s="44"/>
      <c r="AK124" s="44"/>
      <c r="AL124" s="44"/>
      <c r="AM124" s="44"/>
    </row>
    <row r="125" spans="2:39" ht="13.8" x14ac:dyDescent="0.25">
      <c r="B125" s="45" t="str">
        <f t="shared" si="1"/>
        <v>SR-5_Monr_Indi</v>
      </c>
      <c r="C125" s="29" t="str">
        <f>'Table 1'!A118</f>
        <v>SR-5 (US-1)</v>
      </c>
      <c r="D125" s="29" t="str">
        <f>'Table 1'!B118</f>
        <v>Monroe St</v>
      </c>
      <c r="E125" s="29" t="str">
        <f>'Table 1'!C118</f>
        <v>Indian St</v>
      </c>
      <c r="F125" s="44"/>
      <c r="G125" s="44"/>
      <c r="H125" s="44"/>
      <c r="I125" s="44"/>
      <c r="J125" s="44"/>
      <c r="K125" s="29" t="str">
        <f>'Table 1'!D118</f>
        <v>C3C</v>
      </c>
      <c r="L125" s="29"/>
      <c r="M125" s="44"/>
      <c r="N125" s="46">
        <f>'Table 1'!E118</f>
        <v>2680</v>
      </c>
      <c r="O125" s="44"/>
      <c r="P125" s="44"/>
      <c r="Q125" s="44"/>
      <c r="R125" s="29">
        <f>'Table 1'!F118</f>
        <v>36506</v>
      </c>
      <c r="S125" s="44"/>
      <c r="T125" s="29" t="str">
        <f>'Table 1'!H118</f>
        <v>C</v>
      </c>
      <c r="U125" s="29"/>
      <c r="V125" s="29"/>
      <c r="W125" s="29"/>
      <c r="X125" s="29"/>
      <c r="Y125" s="44"/>
      <c r="Z125" s="44"/>
      <c r="AA125" s="44"/>
      <c r="AB125" s="44"/>
      <c r="AC125" s="44"/>
      <c r="AD125" s="44"/>
      <c r="AE125" s="46">
        <f>'Table 1'!G118</f>
        <v>1727</v>
      </c>
      <c r="AF125" s="44"/>
      <c r="AG125" s="44"/>
      <c r="AH125" s="44"/>
      <c r="AI125" s="47">
        <f>'Table 1'!I118*100</f>
        <v>0.5</v>
      </c>
      <c r="AJ125" s="44"/>
      <c r="AK125" s="44"/>
      <c r="AL125" s="44"/>
      <c r="AM125" s="44"/>
    </row>
    <row r="126" spans="2:39" ht="13.8" x14ac:dyDescent="0.25">
      <c r="B126" s="45" t="str">
        <f t="shared" si="1"/>
        <v>SR-5_Indi_SR-7</v>
      </c>
      <c r="C126" s="29" t="str">
        <f>'Table 1'!A119</f>
        <v>SR-5 (US-1)</v>
      </c>
      <c r="D126" s="29" t="str">
        <f>'Table 1'!B119</f>
        <v>Indian St</v>
      </c>
      <c r="E126" s="29" t="str">
        <f>'Table 1'!C119</f>
        <v>SR-714</v>
      </c>
      <c r="F126" s="44"/>
      <c r="G126" s="44"/>
      <c r="H126" s="44"/>
      <c r="I126" s="44"/>
      <c r="J126" s="44"/>
      <c r="K126" s="29" t="str">
        <f>'Table 1'!D119</f>
        <v>C3C</v>
      </c>
      <c r="L126" s="29"/>
      <c r="M126" s="44"/>
      <c r="N126" s="46">
        <f>'Table 1'!E119</f>
        <v>2680</v>
      </c>
      <c r="O126" s="44"/>
      <c r="P126" s="44"/>
      <c r="Q126" s="44"/>
      <c r="R126" s="29">
        <f>'Table 1'!F119</f>
        <v>45276</v>
      </c>
      <c r="S126" s="44"/>
      <c r="T126" s="29" t="str">
        <f>'Table 1'!H119</f>
        <v>C</v>
      </c>
      <c r="U126" s="29"/>
      <c r="V126" s="29"/>
      <c r="W126" s="29"/>
      <c r="X126" s="29"/>
      <c r="Y126" s="44"/>
      <c r="Z126" s="44"/>
      <c r="AA126" s="44"/>
      <c r="AB126" s="44"/>
      <c r="AC126" s="44"/>
      <c r="AD126" s="44"/>
      <c r="AE126" s="46">
        <f>'Table 1'!G119</f>
        <v>2176</v>
      </c>
      <c r="AF126" s="44"/>
      <c r="AG126" s="44"/>
      <c r="AH126" s="44"/>
      <c r="AI126" s="47">
        <f>'Table 1'!I119*100</f>
        <v>0.5</v>
      </c>
      <c r="AJ126" s="44"/>
      <c r="AK126" s="44"/>
      <c r="AL126" s="44"/>
      <c r="AM126" s="44"/>
    </row>
    <row r="127" spans="2:39" ht="13.8" x14ac:dyDescent="0.25">
      <c r="B127" s="45" t="str">
        <f t="shared" si="1"/>
        <v>SR-5_SR-7_SR-5</v>
      </c>
      <c r="C127" s="29" t="str">
        <f>'Table 1'!A120</f>
        <v>SR-5 (US-1)</v>
      </c>
      <c r="D127" s="29" t="str">
        <f>'Table 1'!B120</f>
        <v>SR-714</v>
      </c>
      <c r="E127" s="29" t="str">
        <f>'Table 1'!C120</f>
        <v>SR-5A</v>
      </c>
      <c r="F127" s="44"/>
      <c r="G127" s="44"/>
      <c r="H127" s="44"/>
      <c r="I127" s="44"/>
      <c r="J127" s="44"/>
      <c r="K127" s="29" t="str">
        <f>'Table 1'!D120</f>
        <v>C4</v>
      </c>
      <c r="L127" s="29"/>
      <c r="M127" s="44"/>
      <c r="N127" s="46">
        <f>'Table 1'!E120</f>
        <v>2810</v>
      </c>
      <c r="O127" s="44"/>
      <c r="P127" s="44"/>
      <c r="Q127" s="44"/>
      <c r="R127" s="29">
        <f>'Table 1'!F120</f>
        <v>36743</v>
      </c>
      <c r="S127" s="44"/>
      <c r="T127" s="29" t="str">
        <f>'Table 1'!H120</f>
        <v>C</v>
      </c>
      <c r="U127" s="29"/>
      <c r="V127" s="29"/>
      <c r="W127" s="29"/>
      <c r="X127" s="29"/>
      <c r="Y127" s="44"/>
      <c r="Z127" s="44"/>
      <c r="AA127" s="44"/>
      <c r="AB127" s="44"/>
      <c r="AC127" s="44"/>
      <c r="AD127" s="44"/>
      <c r="AE127" s="46">
        <f>'Table 1'!G120</f>
        <v>1753</v>
      </c>
      <c r="AF127" s="44"/>
      <c r="AG127" s="44"/>
      <c r="AH127" s="44"/>
      <c r="AI127" s="47">
        <f>'Table 1'!I120*100</f>
        <v>0.5</v>
      </c>
      <c r="AJ127" s="44"/>
      <c r="AK127" s="44"/>
      <c r="AL127" s="44"/>
      <c r="AM127" s="44"/>
    </row>
    <row r="128" spans="2:39" ht="13.8" x14ac:dyDescent="0.25">
      <c r="B128" s="45" t="str">
        <f t="shared" si="1"/>
        <v>SR-5_SR-5_SR-7</v>
      </c>
      <c r="C128" s="29" t="str">
        <f>'Table 1'!A121</f>
        <v>SR-5 (US-1)</v>
      </c>
      <c r="D128" s="29" t="str">
        <f>'Table 1'!B121</f>
        <v>SR-5A(Cut-off Rd)</v>
      </c>
      <c r="E128" s="29" t="str">
        <f>'Table 1'!C121</f>
        <v>SR-76</v>
      </c>
      <c r="F128" s="44"/>
      <c r="G128" s="44"/>
      <c r="H128" s="44"/>
      <c r="I128" s="44"/>
      <c r="J128" s="44"/>
      <c r="K128" s="29" t="str">
        <f>'Table 1'!D121</f>
        <v>C4</v>
      </c>
      <c r="L128" s="29"/>
      <c r="M128" s="44"/>
      <c r="N128" s="46">
        <f>'Table 1'!E121</f>
        <v>2810</v>
      </c>
      <c r="O128" s="44"/>
      <c r="P128" s="44"/>
      <c r="Q128" s="44"/>
      <c r="R128" s="29">
        <f>'Table 1'!F121</f>
        <v>33378</v>
      </c>
      <c r="S128" s="44"/>
      <c r="T128" s="29" t="str">
        <f>'Table 1'!H121</f>
        <v>C</v>
      </c>
      <c r="U128" s="29"/>
      <c r="V128" s="29"/>
      <c r="W128" s="29"/>
      <c r="X128" s="29"/>
      <c r="Y128" s="44"/>
      <c r="Z128" s="44"/>
      <c r="AA128" s="44"/>
      <c r="AB128" s="44"/>
      <c r="AC128" s="44"/>
      <c r="AD128" s="44"/>
      <c r="AE128" s="46">
        <f>'Table 1'!G121</f>
        <v>1336</v>
      </c>
      <c r="AF128" s="44"/>
      <c r="AG128" s="44"/>
      <c r="AH128" s="44"/>
      <c r="AI128" s="47">
        <f>'Table 1'!I121*100</f>
        <v>0.6</v>
      </c>
      <c r="AJ128" s="44"/>
      <c r="AK128" s="44"/>
      <c r="AL128" s="44"/>
      <c r="AM128" s="44"/>
    </row>
    <row r="129" spans="2:39" ht="13.8" x14ac:dyDescent="0.25">
      <c r="B129" s="45" t="str">
        <f t="shared" si="1"/>
        <v>SR-5_SR-7_Palm</v>
      </c>
      <c r="C129" s="29" t="str">
        <f>'Table 1'!A122</f>
        <v>SR-5 (US-1)</v>
      </c>
      <c r="D129" s="29" t="str">
        <f>'Table 1'!B122</f>
        <v>SR-76</v>
      </c>
      <c r="E129" s="29" t="str">
        <f>'Table 1'!C122</f>
        <v>Palm City Rd</v>
      </c>
      <c r="F129" s="44"/>
      <c r="G129" s="44"/>
      <c r="H129" s="44"/>
      <c r="I129" s="44"/>
      <c r="J129" s="44"/>
      <c r="K129" s="29" t="str">
        <f>'Table 1'!D122</f>
        <v>C4</v>
      </c>
      <c r="L129" s="29"/>
      <c r="M129" s="44"/>
      <c r="N129" s="46">
        <f>'Table 1'!E122</f>
        <v>2810</v>
      </c>
      <c r="O129" s="44"/>
      <c r="P129" s="44"/>
      <c r="Q129" s="44"/>
      <c r="R129" s="29">
        <f>'Table 1'!F122</f>
        <v>47809</v>
      </c>
      <c r="S129" s="44"/>
      <c r="T129" s="29" t="str">
        <f>'Table 1'!H122</f>
        <v>C</v>
      </c>
      <c r="U129" s="29"/>
      <c r="V129" s="29"/>
      <c r="W129" s="29"/>
      <c r="X129" s="29"/>
      <c r="Y129" s="44"/>
      <c r="Z129" s="44"/>
      <c r="AA129" s="44"/>
      <c r="AB129" s="44"/>
      <c r="AC129" s="44"/>
      <c r="AD129" s="44"/>
      <c r="AE129" s="46">
        <f>'Table 1'!G122</f>
        <v>1793</v>
      </c>
      <c r="AF129" s="44"/>
      <c r="AG129" s="44"/>
      <c r="AH129" s="44"/>
      <c r="AI129" s="47">
        <f>'Table 1'!I122*100</f>
        <v>0.5</v>
      </c>
      <c r="AJ129" s="44"/>
      <c r="AK129" s="44"/>
      <c r="AL129" s="44"/>
      <c r="AM129" s="44"/>
    </row>
    <row r="130" spans="2:39" ht="13.8" x14ac:dyDescent="0.25">
      <c r="B130" s="45" t="str">
        <f t="shared" si="1"/>
        <v>SR-5_Palm_Joan</v>
      </c>
      <c r="C130" s="29" t="str">
        <f>'Table 1'!A123</f>
        <v>SR-5 (US-1)</v>
      </c>
      <c r="D130" s="29" t="str">
        <f>'Table 1'!B123</f>
        <v>Palm City Rd</v>
      </c>
      <c r="E130" s="29" t="str">
        <f>'Table 1'!C123</f>
        <v>Joan Jefferson Wy</v>
      </c>
      <c r="F130" s="44"/>
      <c r="G130" s="44"/>
      <c r="H130" s="44"/>
      <c r="I130" s="44"/>
      <c r="J130" s="44"/>
      <c r="K130" s="29" t="str">
        <f>'Table 1'!D123</f>
        <v>C4</v>
      </c>
      <c r="L130" s="29"/>
      <c r="M130" s="44"/>
      <c r="N130" s="46">
        <f>'Table 1'!E123</f>
        <v>2810</v>
      </c>
      <c r="O130" s="44"/>
      <c r="P130" s="44"/>
      <c r="Q130" s="44"/>
      <c r="R130" s="29">
        <f>'Table 1'!F123</f>
        <v>56184</v>
      </c>
      <c r="S130" s="44"/>
      <c r="T130" s="29" t="str">
        <f>'Table 1'!H123</f>
        <v>C</v>
      </c>
      <c r="U130" s="29"/>
      <c r="V130" s="29"/>
      <c r="W130" s="29"/>
      <c r="X130" s="29"/>
      <c r="Y130" s="44"/>
      <c r="Z130" s="44"/>
      <c r="AA130" s="44"/>
      <c r="AB130" s="44"/>
      <c r="AC130" s="44"/>
      <c r="AD130" s="44"/>
      <c r="AE130" s="46">
        <f>'Table 1'!G123</f>
        <v>2178</v>
      </c>
      <c r="AF130" s="44"/>
      <c r="AG130" s="44"/>
      <c r="AH130" s="44"/>
      <c r="AI130" s="47">
        <f>'Table 1'!I123*100</f>
        <v>0.6</v>
      </c>
      <c r="AJ130" s="44"/>
      <c r="AK130" s="44"/>
      <c r="AL130" s="44"/>
      <c r="AM130" s="44"/>
    </row>
    <row r="131" spans="2:39" ht="13.8" x14ac:dyDescent="0.25">
      <c r="B131" s="45" t="str">
        <f t="shared" si="1"/>
        <v>SR-5_Joan_Wrig</v>
      </c>
      <c r="C131" s="29" t="str">
        <f>'Table 1'!A124</f>
        <v>SR-5 (US-1)</v>
      </c>
      <c r="D131" s="29" t="str">
        <f>'Table 1'!B124</f>
        <v>Joan Jefferson Wy</v>
      </c>
      <c r="E131" s="29" t="str">
        <f>'Table 1'!C124</f>
        <v>Wright Blvd</v>
      </c>
      <c r="F131" s="44"/>
      <c r="G131" s="44"/>
      <c r="H131" s="44"/>
      <c r="I131" s="44"/>
      <c r="J131" s="44"/>
      <c r="K131" s="29" t="str">
        <f>'Table 1'!D124</f>
        <v>C3C</v>
      </c>
      <c r="L131" s="29"/>
      <c r="M131" s="44"/>
      <c r="N131" s="46">
        <f>'Table 1'!E124</f>
        <v>2815</v>
      </c>
      <c r="O131" s="44"/>
      <c r="P131" s="44"/>
      <c r="Q131" s="44"/>
      <c r="R131" s="29">
        <f>'Table 1'!F124</f>
        <v>59047</v>
      </c>
      <c r="S131" s="44"/>
      <c r="T131" s="29" t="str">
        <f>'Table 1'!H124</f>
        <v>E</v>
      </c>
      <c r="U131" s="29"/>
      <c r="V131" s="29"/>
      <c r="W131" s="29"/>
      <c r="X131" s="29"/>
      <c r="Y131" s="44"/>
      <c r="Z131" s="44"/>
      <c r="AA131" s="44"/>
      <c r="AB131" s="44"/>
      <c r="AC131" s="44"/>
      <c r="AD131" s="44"/>
      <c r="AE131" s="46">
        <f>'Table 1'!G124</f>
        <v>2827</v>
      </c>
      <c r="AF131" s="44"/>
      <c r="AG131" s="44"/>
      <c r="AH131" s="44"/>
      <c r="AI131" s="47">
        <f>'Table 1'!I124*100</f>
        <v>0.5</v>
      </c>
      <c r="AJ131" s="44"/>
      <c r="AK131" s="44"/>
      <c r="AL131" s="44"/>
      <c r="AM131" s="44"/>
    </row>
    <row r="132" spans="2:39" ht="13.8" x14ac:dyDescent="0.25">
      <c r="B132" s="45" t="str">
        <f t="shared" si="1"/>
        <v>SR-5_Wrig_Bake</v>
      </c>
      <c r="C132" s="29" t="str">
        <f>'Table 1'!A125</f>
        <v>SR-5 (US-1)</v>
      </c>
      <c r="D132" s="29" t="str">
        <f>'Table 1'!B125</f>
        <v>Wright Blvd</v>
      </c>
      <c r="E132" s="29" t="str">
        <f>'Table 1'!C125</f>
        <v>Baker Rd</v>
      </c>
      <c r="F132" s="44"/>
      <c r="G132" s="44"/>
      <c r="H132" s="44"/>
      <c r="I132" s="44"/>
      <c r="J132" s="44"/>
      <c r="K132" s="29" t="str">
        <f>'Table 1'!D125</f>
        <v>C3C</v>
      </c>
      <c r="L132" s="29"/>
      <c r="M132" s="44"/>
      <c r="N132" s="46">
        <f>'Table 1'!E125</f>
        <v>2680</v>
      </c>
      <c r="O132" s="44"/>
      <c r="P132" s="44"/>
      <c r="Q132" s="44"/>
      <c r="R132" s="29">
        <f>'Table 1'!F125</f>
        <v>51265</v>
      </c>
      <c r="S132" s="44"/>
      <c r="T132" s="29" t="str">
        <f>'Table 1'!H125</f>
        <v>C</v>
      </c>
      <c r="U132" s="29"/>
      <c r="V132" s="29"/>
      <c r="W132" s="29"/>
      <c r="X132" s="29"/>
      <c r="Y132" s="44"/>
      <c r="Z132" s="44"/>
      <c r="AA132" s="44"/>
      <c r="AB132" s="44"/>
      <c r="AC132" s="44"/>
      <c r="AD132" s="44"/>
      <c r="AE132" s="46">
        <f>'Table 1'!G125</f>
        <v>2215</v>
      </c>
      <c r="AF132" s="44"/>
      <c r="AG132" s="44"/>
      <c r="AH132" s="44"/>
      <c r="AI132" s="47">
        <f>'Table 1'!I125*100</f>
        <v>0.5</v>
      </c>
      <c r="AJ132" s="44"/>
      <c r="AK132" s="44"/>
      <c r="AL132" s="44"/>
      <c r="AM132" s="44"/>
    </row>
    <row r="133" spans="2:39" ht="13.8" x14ac:dyDescent="0.25">
      <c r="B133" s="45" t="str">
        <f t="shared" si="1"/>
        <v>SR-5_Bake_Brit</v>
      </c>
      <c r="C133" s="29" t="str">
        <f>'Table 1'!A126</f>
        <v>SR-5 (US-1)</v>
      </c>
      <c r="D133" s="29" t="str">
        <f>'Table 1'!B126</f>
        <v>Baker Rd</v>
      </c>
      <c r="E133" s="29" t="str">
        <f>'Table 1'!C126</f>
        <v>Britt Rd</v>
      </c>
      <c r="F133" s="44"/>
      <c r="G133" s="44"/>
      <c r="H133" s="44"/>
      <c r="I133" s="44"/>
      <c r="J133" s="44"/>
      <c r="K133" s="29" t="str">
        <f>'Table 1'!D126</f>
        <v>C3C</v>
      </c>
      <c r="L133" s="29"/>
      <c r="M133" s="44"/>
      <c r="N133" s="46">
        <f>'Table 1'!E126</f>
        <v>2680</v>
      </c>
      <c r="O133" s="44"/>
      <c r="P133" s="44"/>
      <c r="Q133" s="44"/>
      <c r="R133" s="29">
        <f>'Table 1'!F126</f>
        <v>47243</v>
      </c>
      <c r="S133" s="44"/>
      <c r="T133" s="29" t="str">
        <f>'Table 1'!H126</f>
        <v>C</v>
      </c>
      <c r="U133" s="29"/>
      <c r="V133" s="29"/>
      <c r="W133" s="29"/>
      <c r="X133" s="29"/>
      <c r="Y133" s="44"/>
      <c r="Z133" s="44"/>
      <c r="AA133" s="44"/>
      <c r="AB133" s="44"/>
      <c r="AC133" s="44"/>
      <c r="AD133" s="44"/>
      <c r="AE133" s="46">
        <f>'Table 1'!G126</f>
        <v>2203</v>
      </c>
      <c r="AF133" s="44"/>
      <c r="AG133" s="44"/>
      <c r="AH133" s="44"/>
      <c r="AI133" s="47">
        <f>'Table 1'!I126*100</f>
        <v>0.5</v>
      </c>
      <c r="AJ133" s="44"/>
      <c r="AK133" s="44"/>
      <c r="AL133" s="44"/>
      <c r="AM133" s="44"/>
    </row>
    <row r="134" spans="2:39" ht="13.8" x14ac:dyDescent="0.25">
      <c r="B134" s="45" t="str">
        <f t="shared" si="1"/>
        <v>SR-5_Brit_SR-7</v>
      </c>
      <c r="C134" s="29" t="str">
        <f>'Table 1'!A127</f>
        <v>SR-5 (US-1)</v>
      </c>
      <c r="D134" s="29" t="str">
        <f>'Table 1'!B127</f>
        <v>Britt Rd</v>
      </c>
      <c r="E134" s="29" t="str">
        <f>'Table 1'!C127</f>
        <v>SR-732</v>
      </c>
      <c r="F134" s="44"/>
      <c r="G134" s="44"/>
      <c r="H134" s="44"/>
      <c r="I134" s="44"/>
      <c r="J134" s="44"/>
      <c r="K134" s="29" t="str">
        <f>'Table 1'!D127</f>
        <v>C3C</v>
      </c>
      <c r="L134" s="29"/>
      <c r="M134" s="44"/>
      <c r="N134" s="46">
        <f>'Table 1'!E127</f>
        <v>2930</v>
      </c>
      <c r="O134" s="44"/>
      <c r="P134" s="44"/>
      <c r="Q134" s="44"/>
      <c r="R134" s="29">
        <f>'Table 1'!F127</f>
        <v>55790</v>
      </c>
      <c r="S134" s="44"/>
      <c r="T134" s="29" t="str">
        <f>'Table 1'!H127</f>
        <v>C</v>
      </c>
      <c r="U134" s="29"/>
      <c r="V134" s="29"/>
      <c r="W134" s="29"/>
      <c r="X134" s="29"/>
      <c r="Y134" s="44"/>
      <c r="Z134" s="44"/>
      <c r="AA134" s="44"/>
      <c r="AB134" s="44"/>
      <c r="AC134" s="44"/>
      <c r="AD134" s="44"/>
      <c r="AE134" s="46">
        <f>'Table 1'!G127</f>
        <v>2543</v>
      </c>
      <c r="AF134" s="44"/>
      <c r="AG134" s="44"/>
      <c r="AH134" s="44"/>
      <c r="AI134" s="47">
        <f>'Table 1'!I127*100</f>
        <v>0.5</v>
      </c>
      <c r="AJ134" s="44"/>
      <c r="AK134" s="44"/>
      <c r="AL134" s="44"/>
      <c r="AM134" s="44"/>
    </row>
    <row r="135" spans="2:39" ht="13.8" x14ac:dyDescent="0.25">
      <c r="B135" s="45" t="str">
        <f t="shared" si="1"/>
        <v>SR-5_SR-7_West</v>
      </c>
      <c r="C135" s="29" t="str">
        <f>'Table 1'!A128</f>
        <v>SR-5 (US-1)</v>
      </c>
      <c r="D135" s="29" t="str">
        <f>'Table 1'!B128</f>
        <v>SR-732</v>
      </c>
      <c r="E135" s="29" t="str">
        <f>'Table 1'!C128</f>
        <v>Westmoreland Blvd</v>
      </c>
      <c r="F135" s="44"/>
      <c r="G135" s="44"/>
      <c r="H135" s="44"/>
      <c r="I135" s="44"/>
      <c r="J135" s="44"/>
      <c r="K135" s="29" t="str">
        <f>'Table 1'!D128</f>
        <v>C3C</v>
      </c>
      <c r="L135" s="29"/>
      <c r="M135" s="44"/>
      <c r="N135" s="46">
        <f>'Table 1'!E128</f>
        <v>3180</v>
      </c>
      <c r="O135" s="44"/>
      <c r="P135" s="44"/>
      <c r="Q135" s="44"/>
      <c r="R135" s="29">
        <f>'Table 1'!F128</f>
        <v>65367</v>
      </c>
      <c r="S135" s="44"/>
      <c r="T135" s="29" t="str">
        <f>'Table 1'!H128</f>
        <v>C</v>
      </c>
      <c r="U135" s="29"/>
      <c r="V135" s="29"/>
      <c r="W135" s="29"/>
      <c r="X135" s="29"/>
      <c r="Y135" s="44"/>
      <c r="Z135" s="44"/>
      <c r="AA135" s="44"/>
      <c r="AB135" s="44"/>
      <c r="AC135" s="44"/>
      <c r="AD135" s="44"/>
      <c r="AE135" s="46">
        <f>'Table 1'!G128</f>
        <v>2867</v>
      </c>
      <c r="AF135" s="44"/>
      <c r="AG135" s="44"/>
      <c r="AH135" s="44"/>
      <c r="AI135" s="47">
        <f>'Table 1'!I128*100</f>
        <v>0.5</v>
      </c>
      <c r="AJ135" s="44"/>
      <c r="AK135" s="44"/>
      <c r="AL135" s="44"/>
      <c r="AM135" s="44"/>
    </row>
    <row r="136" spans="2:39" ht="13.8" x14ac:dyDescent="0.25">
      <c r="B136" s="45" t="str">
        <f t="shared" si="1"/>
        <v>SR-5_West_St L</v>
      </c>
      <c r="C136" s="29" t="str">
        <f>'Table 1'!A129</f>
        <v>SR-5 (US-1)</v>
      </c>
      <c r="D136" s="29" t="str">
        <f>'Table 1'!B129</f>
        <v>Westmoreland Blvd</v>
      </c>
      <c r="E136" s="29" t="str">
        <f>'Table 1'!C129</f>
        <v>St Lucie County</v>
      </c>
      <c r="F136" s="44"/>
      <c r="G136" s="44"/>
      <c r="H136" s="44"/>
      <c r="I136" s="44"/>
      <c r="J136" s="44"/>
      <c r="K136" s="29" t="str">
        <f>'Table 1'!D129</f>
        <v>C3C</v>
      </c>
      <c r="L136" s="29"/>
      <c r="M136" s="44"/>
      <c r="N136" s="46">
        <f>'Table 1'!E129</f>
        <v>3180</v>
      </c>
      <c r="O136" s="44"/>
      <c r="P136" s="44"/>
      <c r="Q136" s="44"/>
      <c r="R136" s="29">
        <f>'Table 1'!F129</f>
        <v>63100</v>
      </c>
      <c r="S136" s="44"/>
      <c r="T136" s="29" t="str">
        <f>'Table 1'!H129</f>
        <v>C</v>
      </c>
      <c r="U136" s="29"/>
      <c r="V136" s="29"/>
      <c r="W136" s="29"/>
      <c r="X136" s="29"/>
      <c r="Y136" s="44"/>
      <c r="Z136" s="44"/>
      <c r="AA136" s="44"/>
      <c r="AB136" s="44"/>
      <c r="AC136" s="44"/>
      <c r="AD136" s="44"/>
      <c r="AE136" s="46">
        <f>'Table 1'!G129</f>
        <v>2855</v>
      </c>
      <c r="AF136" s="44"/>
      <c r="AG136" s="44"/>
      <c r="AH136" s="44"/>
      <c r="AI136" s="47">
        <f>'Table 1'!I129*100</f>
        <v>1.0999999999999999</v>
      </c>
      <c r="AJ136" s="44"/>
      <c r="AK136" s="44"/>
      <c r="AL136" s="44"/>
      <c r="AM136" s="44"/>
    </row>
    <row r="137" spans="2:39" ht="13.8" x14ac:dyDescent="0.25">
      <c r="B137" s="45" t="str">
        <f t="shared" si="1"/>
        <v xml:space="preserve">SR-7_Okee_Fox </v>
      </c>
      <c r="C137" s="29" t="str">
        <f>'Table 1'!A130</f>
        <v>SR-710 (Warfield Blvd)</v>
      </c>
      <c r="D137" s="29" t="str">
        <f>'Table 1'!B130</f>
        <v>Okeechobee County</v>
      </c>
      <c r="E137" s="29" t="str">
        <f>'Table 1'!C130</f>
        <v>Fox Brown Rd</v>
      </c>
      <c r="F137" s="44"/>
      <c r="G137" s="44"/>
      <c r="H137" s="44"/>
      <c r="I137" s="44"/>
      <c r="J137" s="44"/>
      <c r="K137" s="29" t="str">
        <f>'Table 1'!D130</f>
        <v>C2</v>
      </c>
      <c r="L137" s="29"/>
      <c r="M137" s="44"/>
      <c r="N137" s="46">
        <f>'Table 1'!E130</f>
        <v>730</v>
      </c>
      <c r="O137" s="44"/>
      <c r="P137" s="44"/>
      <c r="Q137" s="44"/>
      <c r="R137" s="29">
        <f>'Table 1'!F130</f>
        <v>7253</v>
      </c>
      <c r="S137" s="44"/>
      <c r="T137" s="29" t="str">
        <f>'Table 1'!H130</f>
        <v>C</v>
      </c>
      <c r="U137" s="29"/>
      <c r="V137" s="29"/>
      <c r="W137" s="29"/>
      <c r="X137" s="29"/>
      <c r="Y137" s="44"/>
      <c r="Z137" s="44"/>
      <c r="AA137" s="44"/>
      <c r="AB137" s="44"/>
      <c r="AC137" s="44"/>
      <c r="AD137" s="44"/>
      <c r="AE137" s="46">
        <f>'Table 1'!G130</f>
        <v>307</v>
      </c>
      <c r="AF137" s="44"/>
      <c r="AG137" s="44"/>
      <c r="AH137" s="44"/>
      <c r="AI137" s="47">
        <f>'Table 1'!I130*100</f>
        <v>3.4000000000000004</v>
      </c>
      <c r="AJ137" s="44"/>
      <c r="AK137" s="44"/>
      <c r="AL137" s="44"/>
      <c r="AM137" s="44"/>
    </row>
    <row r="138" spans="2:39" ht="13.8" x14ac:dyDescent="0.25">
      <c r="B138" s="45" t="str">
        <f t="shared" ref="B138:B180" si="2">LEFT(C138,4) &amp; "_" &amp; LEFT(D138,4) &amp; "_" &amp; LEFT(E138,4)</f>
        <v>SR-7_Fox _CR-6</v>
      </c>
      <c r="C138" s="29" t="str">
        <f>'Table 1'!A131</f>
        <v>SR-710 (Warfield Blvd)</v>
      </c>
      <c r="D138" s="29" t="str">
        <f>'Table 1'!B131</f>
        <v>Fox Brown Rd</v>
      </c>
      <c r="E138" s="29" t="str">
        <f>'Table 1'!C131</f>
        <v>CR-609 (Allapattah)</v>
      </c>
      <c r="F138" s="44"/>
      <c r="G138" s="44"/>
      <c r="H138" s="44"/>
      <c r="I138" s="44"/>
      <c r="J138" s="44"/>
      <c r="K138" s="29" t="str">
        <f>'Table 1'!D131</f>
        <v>C2</v>
      </c>
      <c r="L138" s="29"/>
      <c r="M138" s="44"/>
      <c r="N138" s="46">
        <f>'Table 1'!E131</f>
        <v>730</v>
      </c>
      <c r="O138" s="44"/>
      <c r="P138" s="44"/>
      <c r="Q138" s="44"/>
      <c r="R138" s="29">
        <f>'Table 1'!F131</f>
        <v>8597</v>
      </c>
      <c r="S138" s="44"/>
      <c r="T138" s="29" t="str">
        <f>'Table 1'!H131</f>
        <v>C</v>
      </c>
      <c r="U138" s="29"/>
      <c r="V138" s="29"/>
      <c r="W138" s="29"/>
      <c r="X138" s="29"/>
      <c r="Y138" s="44"/>
      <c r="Z138" s="44"/>
      <c r="AA138" s="44"/>
      <c r="AB138" s="44"/>
      <c r="AC138" s="44"/>
      <c r="AD138" s="44"/>
      <c r="AE138" s="46">
        <f>'Table 1'!G131</f>
        <v>362</v>
      </c>
      <c r="AF138" s="44"/>
      <c r="AG138" s="44"/>
      <c r="AH138" s="44"/>
      <c r="AI138" s="47">
        <f>'Table 1'!I131*100</f>
        <v>3.8</v>
      </c>
      <c r="AJ138" s="44"/>
      <c r="AK138" s="44"/>
      <c r="AL138" s="44"/>
      <c r="AM138" s="44"/>
    </row>
    <row r="139" spans="2:39" ht="13.8" x14ac:dyDescent="0.25">
      <c r="B139" s="45" t="str">
        <f t="shared" si="2"/>
        <v xml:space="preserve">SR-7_CR-6_Van </v>
      </c>
      <c r="C139" s="29" t="str">
        <f>'Table 1'!A132</f>
        <v>SR-710 (Warfield Blvd)</v>
      </c>
      <c r="D139" s="29" t="str">
        <f>'Table 1'!B132</f>
        <v>CR-609 (Allapattah)</v>
      </c>
      <c r="E139" s="29" t="str">
        <f>'Table 1'!C132</f>
        <v>Van Buren</v>
      </c>
      <c r="F139" s="44"/>
      <c r="G139" s="44"/>
      <c r="H139" s="44"/>
      <c r="I139" s="44"/>
      <c r="J139" s="44"/>
      <c r="K139" s="29" t="str">
        <f>'Table 1'!D132</f>
        <v>C2_T</v>
      </c>
      <c r="L139" s="29"/>
      <c r="M139" s="44"/>
      <c r="N139" s="46">
        <f>'Table 1'!E132</f>
        <v>940</v>
      </c>
      <c r="O139" s="44"/>
      <c r="P139" s="44"/>
      <c r="Q139" s="44"/>
      <c r="R139" s="29">
        <f>'Table 1'!F132</f>
        <v>14316</v>
      </c>
      <c r="S139" s="44"/>
      <c r="T139" s="29" t="str">
        <f>'Table 1'!H132</f>
        <v>C</v>
      </c>
      <c r="U139" s="29"/>
      <c r="V139" s="29"/>
      <c r="W139" s="29"/>
      <c r="X139" s="29"/>
      <c r="Y139" s="44"/>
      <c r="Z139" s="44"/>
      <c r="AA139" s="44"/>
      <c r="AB139" s="44"/>
      <c r="AC139" s="44"/>
      <c r="AD139" s="44"/>
      <c r="AE139" s="46">
        <f>'Table 1'!G132</f>
        <v>811</v>
      </c>
      <c r="AF139" s="44"/>
      <c r="AG139" s="44"/>
      <c r="AH139" s="44"/>
      <c r="AI139" s="47">
        <f>'Table 1'!I132*100</f>
        <v>3.8</v>
      </c>
      <c r="AJ139" s="44"/>
      <c r="AK139" s="44"/>
      <c r="AL139" s="44"/>
      <c r="AM139" s="44"/>
    </row>
    <row r="140" spans="2:39" ht="13.8" x14ac:dyDescent="0.25">
      <c r="B140" s="45" t="str">
        <f t="shared" si="2"/>
        <v>SR-7_Van _CR-7</v>
      </c>
      <c r="C140" s="29" t="str">
        <f>'Table 1'!A133</f>
        <v>SR-710 (Warfield Blvd)</v>
      </c>
      <c r="D140" s="29" t="str">
        <f>'Table 1'!B133</f>
        <v>Van Buren</v>
      </c>
      <c r="E140" s="29" t="str">
        <f>'Table 1'!C133</f>
        <v>CR-726 (Citrus)</v>
      </c>
      <c r="F140" s="44"/>
      <c r="G140" s="44"/>
      <c r="H140" s="44"/>
      <c r="I140" s="44"/>
      <c r="J140" s="44"/>
      <c r="K140" s="29" t="str">
        <f>'Table 1'!D133</f>
        <v>C2</v>
      </c>
      <c r="L140" s="29"/>
      <c r="M140" s="44"/>
      <c r="N140" s="46">
        <f>'Table 1'!E133</f>
        <v>2910</v>
      </c>
      <c r="O140" s="44"/>
      <c r="P140" s="44"/>
      <c r="Q140" s="44"/>
      <c r="R140" s="29">
        <f>'Table 1'!F133</f>
        <v>14316</v>
      </c>
      <c r="S140" s="44"/>
      <c r="T140" s="29" t="str">
        <f>'Table 1'!H133</f>
        <v>A/B</v>
      </c>
      <c r="U140" s="29"/>
      <c r="V140" s="29"/>
      <c r="W140" s="29"/>
      <c r="X140" s="29"/>
      <c r="Y140" s="44"/>
      <c r="Z140" s="44"/>
      <c r="AA140" s="44"/>
      <c r="AB140" s="44"/>
      <c r="AC140" s="44"/>
      <c r="AD140" s="44"/>
      <c r="AE140" s="46">
        <f>'Table 1'!G133</f>
        <v>811</v>
      </c>
      <c r="AF140" s="44"/>
      <c r="AG140" s="44"/>
      <c r="AH140" s="44"/>
      <c r="AI140" s="47">
        <f>'Table 1'!I133*100</f>
        <v>3.8</v>
      </c>
      <c r="AJ140" s="44"/>
      <c r="AK140" s="44"/>
      <c r="AL140" s="44"/>
      <c r="AM140" s="44"/>
    </row>
    <row r="141" spans="2:39" ht="13.8" x14ac:dyDescent="0.25">
      <c r="B141" s="45" t="str">
        <f t="shared" si="2"/>
        <v>SR-7_CR-7_SR-7</v>
      </c>
      <c r="C141" s="29" t="str">
        <f>'Table 1'!A134</f>
        <v>SR-710 (Warfield Blvd)</v>
      </c>
      <c r="D141" s="29" t="str">
        <f>'Table 1'!B134</f>
        <v>CR-726</v>
      </c>
      <c r="E141" s="29" t="str">
        <f>'Table 1'!C134</f>
        <v>SR-76 (Kanner)</v>
      </c>
      <c r="F141" s="44"/>
      <c r="G141" s="44"/>
      <c r="H141" s="44"/>
      <c r="I141" s="44"/>
      <c r="J141" s="44"/>
      <c r="K141" s="29" t="str">
        <f>'Table 1'!D134</f>
        <v>C2</v>
      </c>
      <c r="L141" s="29"/>
      <c r="M141" s="44"/>
      <c r="N141" s="46">
        <f>'Table 1'!E134</f>
        <v>2910</v>
      </c>
      <c r="O141" s="44"/>
      <c r="P141" s="44"/>
      <c r="Q141" s="44"/>
      <c r="R141" s="29">
        <f>'Table 1'!F134</f>
        <v>12617</v>
      </c>
      <c r="S141" s="44"/>
      <c r="T141" s="29" t="str">
        <f>'Table 1'!H134</f>
        <v>A/B</v>
      </c>
      <c r="U141" s="29"/>
      <c r="V141" s="29"/>
      <c r="W141" s="29"/>
      <c r="X141" s="29"/>
      <c r="Y141" s="44"/>
      <c r="Z141" s="44"/>
      <c r="AA141" s="44"/>
      <c r="AB141" s="44"/>
      <c r="AC141" s="44"/>
      <c r="AD141" s="44"/>
      <c r="AE141" s="46">
        <f>'Table 1'!G134</f>
        <v>545</v>
      </c>
      <c r="AF141" s="44"/>
      <c r="AG141" s="44"/>
      <c r="AH141" s="44"/>
      <c r="AI141" s="47">
        <f>'Table 1'!I134*100</f>
        <v>3.5000000000000004</v>
      </c>
      <c r="AJ141" s="44"/>
      <c r="AK141" s="44"/>
      <c r="AL141" s="44"/>
      <c r="AM141" s="44"/>
    </row>
    <row r="142" spans="2:39" ht="13.8" x14ac:dyDescent="0.25">
      <c r="B142" s="45" t="str">
        <f t="shared" si="2"/>
        <v>SR-7_SR-7_Palm</v>
      </c>
      <c r="C142" s="29" t="str">
        <f>'Table 1'!A135</f>
        <v>SR-710 (Warfield Blvd)</v>
      </c>
      <c r="D142" s="29" t="str">
        <f>'Table 1'!B135</f>
        <v>SR-76</v>
      </c>
      <c r="E142" s="29" t="str">
        <f>'Table 1'!C135</f>
        <v>Palm Beach County</v>
      </c>
      <c r="F142" s="44"/>
      <c r="G142" s="44"/>
      <c r="H142" s="44"/>
      <c r="I142" s="44"/>
      <c r="J142" s="44"/>
      <c r="K142" s="29" t="str">
        <f>'Table 1'!D135</f>
        <v>C2</v>
      </c>
      <c r="L142" s="29"/>
      <c r="M142" s="44"/>
      <c r="N142" s="46">
        <f>'Table 1'!E135</f>
        <v>2910</v>
      </c>
      <c r="O142" s="44"/>
      <c r="P142" s="44"/>
      <c r="Q142" s="44"/>
      <c r="R142" s="29">
        <f>'Table 1'!F135</f>
        <v>9176</v>
      </c>
      <c r="S142" s="44"/>
      <c r="T142" s="29" t="str">
        <f>'Table 1'!H135</f>
        <v>A/B</v>
      </c>
      <c r="U142" s="29"/>
      <c r="V142" s="29"/>
      <c r="W142" s="29"/>
      <c r="X142" s="29"/>
      <c r="Y142" s="44"/>
      <c r="Z142" s="44"/>
      <c r="AA142" s="44"/>
      <c r="AB142" s="44"/>
      <c r="AC142" s="44"/>
      <c r="AD142" s="44"/>
      <c r="AE142" s="46">
        <f>'Table 1'!G135</f>
        <v>414</v>
      </c>
      <c r="AF142" s="44"/>
      <c r="AG142" s="44"/>
      <c r="AH142" s="44"/>
      <c r="AI142" s="47">
        <f>'Table 1'!I135*100</f>
        <v>7.1999999999999993</v>
      </c>
      <c r="AJ142" s="44"/>
      <c r="AK142" s="44"/>
      <c r="AL142" s="44"/>
      <c r="AM142" s="44"/>
    </row>
    <row r="143" spans="2:39" ht="13.8" x14ac:dyDescent="0.25">
      <c r="B143" s="45" t="str">
        <f t="shared" si="2"/>
        <v>SR-7_I-95_CR-7</v>
      </c>
      <c r="C143" s="29" t="str">
        <f>'Table 1'!A136</f>
        <v>SR-714 (Martin Hwy)</v>
      </c>
      <c r="D143" s="29" t="str">
        <f>'Table 1'!B136</f>
        <v>I-95</v>
      </c>
      <c r="E143" s="29" t="str">
        <f>'Table 1'!C136</f>
        <v>CR-76A (Citrus)</v>
      </c>
      <c r="F143" s="44"/>
      <c r="G143" s="44"/>
      <c r="H143" s="44"/>
      <c r="I143" s="44"/>
      <c r="J143" s="44"/>
      <c r="K143" s="29" t="str">
        <f>'Table 1'!D136</f>
        <v>C3R</v>
      </c>
      <c r="L143" s="29"/>
      <c r="M143" s="44"/>
      <c r="N143" s="46">
        <f>'Table 1'!E136</f>
        <v>1110</v>
      </c>
      <c r="O143" s="44"/>
      <c r="P143" s="44"/>
      <c r="Q143" s="44"/>
      <c r="R143" s="29">
        <f>'Table 1'!F136</f>
        <v>14984</v>
      </c>
      <c r="S143" s="44"/>
      <c r="T143" s="29" t="str">
        <f>'Table 1'!H136</f>
        <v>C</v>
      </c>
      <c r="U143" s="29"/>
      <c r="V143" s="29"/>
      <c r="W143" s="29"/>
      <c r="X143" s="29"/>
      <c r="Y143" s="44"/>
      <c r="Z143" s="44"/>
      <c r="AA143" s="44"/>
      <c r="AB143" s="44"/>
      <c r="AC143" s="44"/>
      <c r="AD143" s="44"/>
      <c r="AE143" s="46">
        <f>'Table 1'!G136</f>
        <v>744</v>
      </c>
      <c r="AF143" s="44"/>
      <c r="AG143" s="44"/>
      <c r="AH143" s="44"/>
      <c r="AI143" s="47">
        <f>'Table 1'!I136*100</f>
        <v>2.1</v>
      </c>
      <c r="AJ143" s="44"/>
      <c r="AK143" s="44"/>
      <c r="AL143" s="44"/>
      <c r="AM143" s="44"/>
    </row>
    <row r="144" spans="2:39" ht="13.8" x14ac:dyDescent="0.25">
      <c r="B144" s="45" t="str">
        <f t="shared" si="2"/>
        <v>SR-7_CR-7_Flor</v>
      </c>
      <c r="C144" s="29" t="str">
        <f>'Table 1'!A137</f>
        <v>SR-714 (Martin Hwy)</v>
      </c>
      <c r="D144" s="29" t="str">
        <f>'Table 1'!B137</f>
        <v>CR-76A (Citrus)</v>
      </c>
      <c r="E144" s="29" t="str">
        <f>'Table 1'!C137</f>
        <v>Florida's Turnpike</v>
      </c>
      <c r="F144" s="44"/>
      <c r="G144" s="44"/>
      <c r="H144" s="44"/>
      <c r="I144" s="44"/>
      <c r="J144" s="44"/>
      <c r="K144" s="29" t="str">
        <f>'Table 1'!D137</f>
        <v>C3C</v>
      </c>
      <c r="L144" s="29"/>
      <c r="M144" s="44"/>
      <c r="N144" s="46">
        <f>'Table 1'!E137</f>
        <v>1810</v>
      </c>
      <c r="O144" s="44"/>
      <c r="P144" s="44"/>
      <c r="Q144" s="44"/>
      <c r="R144" s="29">
        <f>'Table 1'!F137</f>
        <v>22005</v>
      </c>
      <c r="S144" s="44"/>
      <c r="T144" s="29" t="str">
        <f>'Table 1'!H137</f>
        <v>C</v>
      </c>
      <c r="U144" s="29"/>
      <c r="V144" s="29"/>
      <c r="W144" s="29"/>
      <c r="X144" s="29"/>
      <c r="Y144" s="44"/>
      <c r="Z144" s="44"/>
      <c r="AA144" s="44"/>
      <c r="AB144" s="44"/>
      <c r="AC144" s="44"/>
      <c r="AD144" s="44"/>
      <c r="AE144" s="46">
        <f>'Table 1'!G137</f>
        <v>1175</v>
      </c>
      <c r="AF144" s="44"/>
      <c r="AG144" s="44"/>
      <c r="AH144" s="44"/>
      <c r="AI144" s="47">
        <f>'Table 1'!I137*100</f>
        <v>0.8</v>
      </c>
      <c r="AJ144" s="44"/>
      <c r="AK144" s="44"/>
      <c r="AL144" s="44"/>
      <c r="AM144" s="44"/>
    </row>
    <row r="145" spans="2:39" ht="13.8" x14ac:dyDescent="0.25">
      <c r="B145" s="45" t="str">
        <f t="shared" si="2"/>
        <v>SR-7_Flor_CR-7</v>
      </c>
      <c r="C145" s="29" t="str">
        <f>'Table 1'!A138</f>
        <v>SR-714 (Martin Downs Blvd)</v>
      </c>
      <c r="D145" s="29" t="str">
        <f>'Table 1'!B138</f>
        <v>Florida's Turnpike</v>
      </c>
      <c r="E145" s="29" t="str">
        <f>'Table 1'!C138</f>
        <v>CR-713</v>
      </c>
      <c r="F145" s="44"/>
      <c r="G145" s="44"/>
      <c r="H145" s="44"/>
      <c r="I145" s="44"/>
      <c r="J145" s="44"/>
      <c r="K145" s="29" t="str">
        <f>'Table 1'!D138</f>
        <v>C3C</v>
      </c>
      <c r="L145" s="29"/>
      <c r="M145" s="44"/>
      <c r="N145" s="46">
        <f>'Table 1'!E138</f>
        <v>1810</v>
      </c>
      <c r="O145" s="44"/>
      <c r="P145" s="44"/>
      <c r="Q145" s="44"/>
      <c r="R145" s="29">
        <f>'Table 1'!F138</f>
        <v>21489</v>
      </c>
      <c r="S145" s="44"/>
      <c r="T145" s="29" t="str">
        <f>'Table 1'!H138</f>
        <v>C</v>
      </c>
      <c r="U145" s="29"/>
      <c r="V145" s="29"/>
      <c r="W145" s="29"/>
      <c r="X145" s="29"/>
      <c r="Y145" s="44"/>
      <c r="Z145" s="44"/>
      <c r="AA145" s="44"/>
      <c r="AB145" s="44"/>
      <c r="AC145" s="44"/>
      <c r="AD145" s="44"/>
      <c r="AE145" s="46">
        <f>'Table 1'!G138</f>
        <v>940</v>
      </c>
      <c r="AF145" s="44"/>
      <c r="AG145" s="44"/>
      <c r="AH145" s="44"/>
      <c r="AI145" s="47">
        <f>'Table 1'!I138*100</f>
        <v>0.89999999999999991</v>
      </c>
      <c r="AJ145" s="44"/>
      <c r="AK145" s="44"/>
      <c r="AL145" s="44"/>
      <c r="AM145" s="44"/>
    </row>
    <row r="146" spans="2:39" ht="13.8" x14ac:dyDescent="0.25">
      <c r="B146" s="45" t="str">
        <f t="shared" si="2"/>
        <v>SR-7_CR-7_Math</v>
      </c>
      <c r="C146" s="29" t="str">
        <f>'Table 1'!A139</f>
        <v>SR-714 (Martin Downs Blvd)</v>
      </c>
      <c r="D146" s="29" t="str">
        <f>'Table 1'!B139</f>
        <v>CR-713</v>
      </c>
      <c r="E146" s="29" t="str">
        <f>'Table 1'!C139</f>
        <v>Matheson Ave</v>
      </c>
      <c r="F146" s="44"/>
      <c r="G146" s="44"/>
      <c r="H146" s="44"/>
      <c r="I146" s="44"/>
      <c r="J146" s="44"/>
      <c r="K146" s="29" t="str">
        <f>'Table 1'!D139</f>
        <v>C3R</v>
      </c>
      <c r="L146" s="29"/>
      <c r="M146" s="44"/>
      <c r="N146" s="46">
        <f>'Table 1'!E139</f>
        <v>1850</v>
      </c>
      <c r="O146" s="44"/>
      <c r="P146" s="44"/>
      <c r="Q146" s="44"/>
      <c r="R146" s="29">
        <f>'Table 1'!F139</f>
        <v>31000</v>
      </c>
      <c r="S146" s="44"/>
      <c r="T146" s="29" t="str">
        <f>'Table 1'!H139</f>
        <v>C</v>
      </c>
      <c r="U146" s="29"/>
      <c r="V146" s="29"/>
      <c r="W146" s="29"/>
      <c r="X146" s="29"/>
      <c r="Y146" s="44"/>
      <c r="Z146" s="44"/>
      <c r="AA146" s="44"/>
      <c r="AB146" s="44"/>
      <c r="AC146" s="44"/>
      <c r="AD146" s="44"/>
      <c r="AE146" s="46">
        <f>'Table 1'!G139</f>
        <v>1256</v>
      </c>
      <c r="AF146" s="44"/>
      <c r="AG146" s="44"/>
      <c r="AH146" s="44"/>
      <c r="AI146" s="47">
        <f>'Table 1'!I139*100</f>
        <v>3.2</v>
      </c>
      <c r="AJ146" s="44"/>
      <c r="AK146" s="44"/>
      <c r="AL146" s="44"/>
      <c r="AM146" s="44"/>
    </row>
    <row r="147" spans="2:39" ht="13.8" x14ac:dyDescent="0.25">
      <c r="B147" s="45" t="str">
        <f t="shared" si="2"/>
        <v>SR-7_Math_Mapp</v>
      </c>
      <c r="C147" s="29" t="str">
        <f>'Table 1'!A140</f>
        <v>SR-714 (Martin Downs Blvd)</v>
      </c>
      <c r="D147" s="29" t="str">
        <f>'Table 1'!B140</f>
        <v>Matheson Ave</v>
      </c>
      <c r="E147" s="29" t="str">
        <f>'Table 1'!C140</f>
        <v>Mapp Rd</v>
      </c>
      <c r="F147" s="44"/>
      <c r="G147" s="44"/>
      <c r="H147" s="44"/>
      <c r="I147" s="44"/>
      <c r="J147" s="44"/>
      <c r="K147" s="29" t="str">
        <f>'Table 1'!D140</f>
        <v>C3R</v>
      </c>
      <c r="L147" s="29"/>
      <c r="M147" s="44"/>
      <c r="N147" s="46">
        <f>'Table 1'!E140</f>
        <v>1850</v>
      </c>
      <c r="O147" s="44"/>
      <c r="P147" s="44"/>
      <c r="Q147" s="44"/>
      <c r="R147" s="29">
        <f>'Table 1'!F140</f>
        <v>32528</v>
      </c>
      <c r="S147" s="44"/>
      <c r="T147" s="29" t="str">
        <f>'Table 1'!H140</f>
        <v>D</v>
      </c>
      <c r="U147" s="29"/>
      <c r="V147" s="29"/>
      <c r="W147" s="29"/>
      <c r="X147" s="29"/>
      <c r="Y147" s="44"/>
      <c r="Z147" s="44"/>
      <c r="AA147" s="44"/>
      <c r="AB147" s="44"/>
      <c r="AC147" s="44"/>
      <c r="AD147" s="44"/>
      <c r="AE147" s="46">
        <f>'Table 1'!G140</f>
        <v>1724</v>
      </c>
      <c r="AF147" s="44"/>
      <c r="AG147" s="44"/>
      <c r="AH147" s="44"/>
      <c r="AI147" s="47">
        <f>'Table 1'!I140*100</f>
        <v>0.5</v>
      </c>
      <c r="AJ147" s="44"/>
      <c r="AK147" s="44"/>
      <c r="AL147" s="44"/>
      <c r="AM147" s="44"/>
    </row>
    <row r="148" spans="2:39" ht="13.8" x14ac:dyDescent="0.25">
      <c r="B148" s="45" t="str">
        <f t="shared" si="2"/>
        <v>SR-7_Mapp_SR-7</v>
      </c>
      <c r="C148" s="29" t="str">
        <f>'Table 1'!A141</f>
        <v>SR-714 (Palm City Bridge)</v>
      </c>
      <c r="D148" s="29" t="str">
        <f>'Table 1'!B141</f>
        <v>Mapp Rd</v>
      </c>
      <c r="E148" s="29" t="str">
        <f>'Table 1'!C141</f>
        <v>SR-76</v>
      </c>
      <c r="F148" s="44"/>
      <c r="G148" s="44"/>
      <c r="H148" s="44"/>
      <c r="I148" s="44"/>
      <c r="J148" s="44"/>
      <c r="K148" s="29" t="str">
        <f>'Table 1'!D141</f>
        <v>C3C</v>
      </c>
      <c r="L148" s="29"/>
      <c r="M148" s="44"/>
      <c r="N148" s="46">
        <f>'Table 1'!E141</f>
        <v>1900</v>
      </c>
      <c r="O148" s="44"/>
      <c r="P148" s="44"/>
      <c r="Q148" s="44"/>
      <c r="R148" s="29">
        <f>'Table 1'!F141</f>
        <v>35988</v>
      </c>
      <c r="S148" s="44"/>
      <c r="T148" s="29" t="str">
        <f>'Table 1'!H141</f>
        <v>E</v>
      </c>
      <c r="U148" s="29"/>
      <c r="V148" s="29"/>
      <c r="W148" s="29"/>
      <c r="X148" s="29"/>
      <c r="Y148" s="44"/>
      <c r="Z148" s="44"/>
      <c r="AA148" s="44"/>
      <c r="AB148" s="44"/>
      <c r="AC148" s="44"/>
      <c r="AD148" s="44"/>
      <c r="AE148" s="46">
        <f>'Table 1'!G141</f>
        <v>2131</v>
      </c>
      <c r="AF148" s="44"/>
      <c r="AG148" s="44"/>
      <c r="AH148" s="44"/>
      <c r="AI148" s="47">
        <f>'Table 1'!I141*100</f>
        <v>0.89999999999999991</v>
      </c>
      <c r="AJ148" s="44"/>
      <c r="AK148" s="44"/>
      <c r="AL148" s="44"/>
      <c r="AM148" s="44"/>
    </row>
    <row r="149" spans="2:39" ht="13.8" x14ac:dyDescent="0.25">
      <c r="B149" s="45" t="str">
        <f t="shared" si="2"/>
        <v>SR-7_SR-7_Will</v>
      </c>
      <c r="C149" s="29" t="str">
        <f>'Table 1'!A142</f>
        <v>SR-714 (Monterey Rd)</v>
      </c>
      <c r="D149" s="29" t="str">
        <f>'Table 1'!B142</f>
        <v>SR-76</v>
      </c>
      <c r="E149" s="29" t="str">
        <f>'Table 1'!C142</f>
        <v>Willoughby Blvd</v>
      </c>
      <c r="F149" s="44"/>
      <c r="G149" s="44"/>
      <c r="H149" s="44"/>
      <c r="I149" s="44"/>
      <c r="J149" s="44"/>
      <c r="K149" s="29" t="str">
        <f>'Table 1'!D142</f>
        <v>C3C</v>
      </c>
      <c r="L149" s="29"/>
      <c r="M149" s="44"/>
      <c r="N149" s="46">
        <f>'Table 1'!E142</f>
        <v>1810</v>
      </c>
      <c r="O149" s="44"/>
      <c r="P149" s="44"/>
      <c r="Q149" s="44"/>
      <c r="R149" s="29">
        <f>'Table 1'!F142</f>
        <v>26408</v>
      </c>
      <c r="S149" s="44"/>
      <c r="T149" s="29" t="str">
        <f>'Table 1'!H142</f>
        <v>C</v>
      </c>
      <c r="U149" s="29"/>
      <c r="V149" s="29"/>
      <c r="W149" s="29"/>
      <c r="X149" s="29"/>
      <c r="Y149" s="44"/>
      <c r="Z149" s="44"/>
      <c r="AA149" s="44"/>
      <c r="AB149" s="44"/>
      <c r="AC149" s="44"/>
      <c r="AD149" s="44"/>
      <c r="AE149" s="46">
        <f>'Table 1'!G142</f>
        <v>1198</v>
      </c>
      <c r="AF149" s="44"/>
      <c r="AG149" s="44"/>
      <c r="AH149" s="44"/>
      <c r="AI149" s="47">
        <f>'Table 1'!I142*100</f>
        <v>4.1000000000000005</v>
      </c>
      <c r="AJ149" s="44"/>
      <c r="AK149" s="44"/>
      <c r="AL149" s="44"/>
      <c r="AM149" s="44"/>
    </row>
    <row r="150" spans="2:39" ht="13.8" x14ac:dyDescent="0.25">
      <c r="B150" s="45" t="str">
        <f t="shared" si="2"/>
        <v>SR-7_Will_Mont</v>
      </c>
      <c r="C150" s="29" t="str">
        <f>'Table 1'!A143</f>
        <v>SR-714 (Monterey Rd)</v>
      </c>
      <c r="D150" s="29" t="str">
        <f>'Table 1'!B143</f>
        <v>Willoughby Blvd</v>
      </c>
      <c r="E150" s="29" t="str">
        <f>'Table 1'!C143</f>
        <v>Monterey Extension</v>
      </c>
      <c r="F150" s="44"/>
      <c r="G150" s="44"/>
      <c r="H150" s="44"/>
      <c r="I150" s="44"/>
      <c r="J150" s="44"/>
      <c r="K150" s="29" t="str">
        <f>'Table 1'!D143</f>
        <v>C3C</v>
      </c>
      <c r="L150" s="29"/>
      <c r="M150" s="44"/>
      <c r="N150" s="46">
        <f>'Table 1'!E143</f>
        <v>1810</v>
      </c>
      <c r="O150" s="44"/>
      <c r="P150" s="44"/>
      <c r="Q150" s="44"/>
      <c r="R150" s="29">
        <f>'Table 1'!F143</f>
        <v>25813</v>
      </c>
      <c r="S150" s="44"/>
      <c r="T150" s="29" t="str">
        <f>'Table 1'!H143</f>
        <v>C</v>
      </c>
      <c r="U150" s="29"/>
      <c r="V150" s="29"/>
      <c r="W150" s="29"/>
      <c r="X150" s="29"/>
      <c r="Y150" s="44"/>
      <c r="Z150" s="44"/>
      <c r="AA150" s="44"/>
      <c r="AB150" s="44"/>
      <c r="AC150" s="44"/>
      <c r="AD150" s="44"/>
      <c r="AE150" s="46">
        <f>'Table 1'!G143</f>
        <v>1310</v>
      </c>
      <c r="AF150" s="44"/>
      <c r="AG150" s="44"/>
      <c r="AH150" s="44"/>
      <c r="AI150" s="47">
        <f>'Table 1'!I143*100</f>
        <v>1.0999999999999999</v>
      </c>
      <c r="AJ150" s="44"/>
      <c r="AK150" s="44"/>
      <c r="AL150" s="44"/>
      <c r="AM150" s="44"/>
    </row>
    <row r="151" spans="2:39" ht="13.8" x14ac:dyDescent="0.25">
      <c r="B151" s="45" t="str">
        <f t="shared" si="2"/>
        <v>SR-7_Mont_SR-5</v>
      </c>
      <c r="C151" s="29" t="str">
        <f>'Table 1'!A144</f>
        <v>SR-714 (Monterey Rd)</v>
      </c>
      <c r="D151" s="29" t="str">
        <f>'Table 1'!B144</f>
        <v>Monterey Extension</v>
      </c>
      <c r="E151" s="29" t="str">
        <f>'Table 1'!C144</f>
        <v>SR-5</v>
      </c>
      <c r="F151" s="44"/>
      <c r="G151" s="44"/>
      <c r="H151" s="44"/>
      <c r="I151" s="44"/>
      <c r="J151" s="44"/>
      <c r="K151" s="29" t="str">
        <f>'Table 1'!D144</f>
        <v>C3C</v>
      </c>
      <c r="L151" s="29"/>
      <c r="M151" s="44"/>
      <c r="N151" s="46">
        <f>'Table 1'!E144</f>
        <v>1900</v>
      </c>
      <c r="O151" s="44"/>
      <c r="P151" s="44"/>
      <c r="Q151" s="44"/>
      <c r="R151" s="29">
        <f>'Table 1'!F144</f>
        <v>18812</v>
      </c>
      <c r="S151" s="44"/>
      <c r="T151" s="29" t="str">
        <f>'Table 1'!H144</f>
        <v>C</v>
      </c>
      <c r="U151" s="29"/>
      <c r="V151" s="29"/>
      <c r="W151" s="29"/>
      <c r="X151" s="29"/>
      <c r="Y151" s="44"/>
      <c r="Z151" s="44"/>
      <c r="AA151" s="44"/>
      <c r="AB151" s="44"/>
      <c r="AC151" s="44"/>
      <c r="AD151" s="44"/>
      <c r="AE151" s="46">
        <f>'Table 1'!G144</f>
        <v>874</v>
      </c>
      <c r="AF151" s="44"/>
      <c r="AG151" s="44"/>
      <c r="AH151" s="44"/>
      <c r="AI151" s="47">
        <f>'Table 1'!I144*100</f>
        <v>0.89999999999999991</v>
      </c>
      <c r="AJ151" s="44"/>
      <c r="AK151" s="44"/>
      <c r="AL151" s="44"/>
      <c r="AM151" s="44"/>
    </row>
    <row r="152" spans="2:39" ht="13.8" x14ac:dyDescent="0.25">
      <c r="B152" s="45" t="str">
        <f t="shared" si="2"/>
        <v>SR-7_SR-5_CR-A</v>
      </c>
      <c r="C152" s="29" t="str">
        <f>'Table 1'!A145</f>
        <v>SR-714 (Monterey Rd)</v>
      </c>
      <c r="D152" s="29" t="str">
        <f>'Table 1'!B145</f>
        <v>SR-5</v>
      </c>
      <c r="E152" s="29" t="str">
        <f>'Table 1'!C145</f>
        <v>CR-A1A</v>
      </c>
      <c r="F152" s="44"/>
      <c r="G152" s="44"/>
      <c r="H152" s="44"/>
      <c r="I152" s="44"/>
      <c r="J152" s="44"/>
      <c r="K152" s="29" t="str">
        <f>'Table 1'!D145</f>
        <v>C3C</v>
      </c>
      <c r="L152" s="29"/>
      <c r="M152" s="44"/>
      <c r="N152" s="46">
        <f>'Table 1'!E145</f>
        <v>1900</v>
      </c>
      <c r="O152" s="44"/>
      <c r="P152" s="44"/>
      <c r="Q152" s="44"/>
      <c r="R152" s="29">
        <f>'Table 1'!F145</f>
        <v>20071</v>
      </c>
      <c r="S152" s="44"/>
      <c r="T152" s="29" t="str">
        <f>'Table 1'!H145</f>
        <v>C</v>
      </c>
      <c r="U152" s="29"/>
      <c r="V152" s="29"/>
      <c r="W152" s="29"/>
      <c r="X152" s="29"/>
      <c r="Y152" s="44"/>
      <c r="Z152" s="44"/>
      <c r="AA152" s="44"/>
      <c r="AB152" s="44"/>
      <c r="AC152" s="44"/>
      <c r="AD152" s="44"/>
      <c r="AE152" s="46">
        <f>'Table 1'!G145</f>
        <v>1264</v>
      </c>
      <c r="AF152" s="44"/>
      <c r="AG152" s="44"/>
      <c r="AH152" s="44"/>
      <c r="AI152" s="47">
        <f>'Table 1'!I145*100</f>
        <v>0.5</v>
      </c>
      <c r="AJ152" s="44"/>
      <c r="AK152" s="44"/>
      <c r="AL152" s="44"/>
      <c r="AM152" s="44"/>
    </row>
    <row r="153" spans="2:39" ht="13.8" x14ac:dyDescent="0.25">
      <c r="B153" s="45" t="str">
        <f t="shared" si="2"/>
        <v>SR-7_CR-A_SR-A</v>
      </c>
      <c r="C153" s="29" t="str">
        <f>'Table 1'!A146</f>
        <v>SR-714 (Monterey Rd)</v>
      </c>
      <c r="D153" s="29" t="str">
        <f>'Table 1'!B146</f>
        <v>CR-A1A</v>
      </c>
      <c r="E153" s="29" t="str">
        <f>'Table 1'!C146</f>
        <v>SR-A1A</v>
      </c>
      <c r="F153" s="44"/>
      <c r="G153" s="44"/>
      <c r="H153" s="44"/>
      <c r="I153" s="44"/>
      <c r="J153" s="44"/>
      <c r="K153" s="29" t="str">
        <f>'Table 1'!D146</f>
        <v>C3C</v>
      </c>
      <c r="L153" s="29"/>
      <c r="M153" s="44"/>
      <c r="N153" s="46">
        <f>'Table 1'!E146</f>
        <v>1810</v>
      </c>
      <c r="O153" s="44"/>
      <c r="P153" s="44"/>
      <c r="Q153" s="44"/>
      <c r="R153" s="29">
        <f>'Table 1'!F146</f>
        <v>19912</v>
      </c>
      <c r="S153" s="44"/>
      <c r="T153" s="29" t="str">
        <f>'Table 1'!H146</f>
        <v>C</v>
      </c>
      <c r="U153" s="29"/>
      <c r="V153" s="29"/>
      <c r="W153" s="29"/>
      <c r="X153" s="29"/>
      <c r="Y153" s="44"/>
      <c r="Z153" s="44"/>
      <c r="AA153" s="44"/>
      <c r="AB153" s="44"/>
      <c r="AC153" s="44"/>
      <c r="AD153" s="44"/>
      <c r="AE153" s="46">
        <f>'Table 1'!G146</f>
        <v>894</v>
      </c>
      <c r="AF153" s="44"/>
      <c r="AG153" s="44"/>
      <c r="AH153" s="44"/>
      <c r="AI153" s="47">
        <f>'Table 1'!I146*100</f>
        <v>0.6</v>
      </c>
      <c r="AJ153" s="44"/>
      <c r="AK153" s="44"/>
      <c r="AL153" s="44"/>
      <c r="AM153" s="44"/>
    </row>
    <row r="154" spans="2:39" ht="13.8" x14ac:dyDescent="0.25">
      <c r="B154" s="45" t="str">
        <f t="shared" si="2"/>
        <v>SR-7_CR-7_SR-A</v>
      </c>
      <c r="C154" s="29" t="str">
        <f>'Table 1'!A147</f>
        <v>SR-732 (Causeway Blvd)</v>
      </c>
      <c r="D154" s="29" t="str">
        <f>'Table 1'!B147</f>
        <v>CR-707</v>
      </c>
      <c r="E154" s="29" t="str">
        <f>'Table 1'!C147</f>
        <v>SR-A1A</v>
      </c>
      <c r="F154" s="44"/>
      <c r="G154" s="44"/>
      <c r="H154" s="44"/>
      <c r="I154" s="44"/>
      <c r="J154" s="44"/>
      <c r="K154" s="29" t="str">
        <f>'Table 1'!D147</f>
        <v>C3R</v>
      </c>
      <c r="L154" s="29"/>
      <c r="M154" s="44"/>
      <c r="N154" s="46">
        <f>'Table 1'!E147</f>
        <v>1110</v>
      </c>
      <c r="O154" s="44"/>
      <c r="P154" s="44"/>
      <c r="Q154" s="44"/>
      <c r="R154" s="29">
        <f>'Table 1'!F147</f>
        <v>13568</v>
      </c>
      <c r="S154" s="44"/>
      <c r="T154" s="29" t="str">
        <f>'Table 1'!H147</f>
        <v>C</v>
      </c>
      <c r="U154" s="29"/>
      <c r="V154" s="29"/>
      <c r="W154" s="29"/>
      <c r="X154" s="29"/>
      <c r="Y154" s="44"/>
      <c r="Z154" s="44"/>
      <c r="AA154" s="44"/>
      <c r="AB154" s="44"/>
      <c r="AC154" s="44"/>
      <c r="AD154" s="44"/>
      <c r="AE154" s="46">
        <f>'Table 1'!G147</f>
        <v>762</v>
      </c>
      <c r="AF154" s="44"/>
      <c r="AG154" s="44"/>
      <c r="AH154" s="44"/>
      <c r="AI154" s="47">
        <f>'Table 1'!I147*100</f>
        <v>1.7999999999999998</v>
      </c>
      <c r="AJ154" s="44"/>
      <c r="AK154" s="44"/>
      <c r="AL154" s="44"/>
      <c r="AM154" s="44"/>
    </row>
    <row r="155" spans="2:39" ht="13.8" x14ac:dyDescent="0.25">
      <c r="B155" s="45" t="str">
        <f t="shared" si="2"/>
        <v>SR-7_SR-5_Gree</v>
      </c>
      <c r="C155" s="29" t="str">
        <f>'Table 1'!A148</f>
        <v>SR-732 (Jensen Beach Blvd)</v>
      </c>
      <c r="D155" s="29" t="str">
        <f>'Table 1'!B148</f>
        <v>SR-5</v>
      </c>
      <c r="E155" s="29" t="str">
        <f>'Table 1'!C148</f>
        <v>Green River Pkwy</v>
      </c>
      <c r="F155" s="44"/>
      <c r="G155" s="44"/>
      <c r="H155" s="44"/>
      <c r="I155" s="44"/>
      <c r="J155" s="44"/>
      <c r="K155" s="29" t="str">
        <f>'Table 1'!D148</f>
        <v>C3R</v>
      </c>
      <c r="L155" s="29"/>
      <c r="M155" s="44"/>
      <c r="N155" s="46">
        <f>'Table 1'!E148</f>
        <v>1850</v>
      </c>
      <c r="O155" s="44"/>
      <c r="P155" s="44"/>
      <c r="Q155" s="44"/>
      <c r="R155" s="29">
        <f>'Table 1'!F148</f>
        <v>24707</v>
      </c>
      <c r="S155" s="44"/>
      <c r="T155" s="29" t="str">
        <f>'Table 1'!H148</f>
        <v>C</v>
      </c>
      <c r="U155" s="29"/>
      <c r="V155" s="29"/>
      <c r="W155" s="29"/>
      <c r="X155" s="29"/>
      <c r="Y155" s="44"/>
      <c r="Z155" s="44"/>
      <c r="AA155" s="44"/>
      <c r="AB155" s="44"/>
      <c r="AC155" s="44"/>
      <c r="AD155" s="44"/>
      <c r="AE155" s="46">
        <f>'Table 1'!G148</f>
        <v>1334</v>
      </c>
      <c r="AF155" s="44"/>
      <c r="AG155" s="44"/>
      <c r="AH155" s="44"/>
      <c r="AI155" s="47">
        <f>'Table 1'!I148*100</f>
        <v>0.5</v>
      </c>
      <c r="AJ155" s="44"/>
      <c r="AK155" s="44"/>
      <c r="AL155" s="44"/>
      <c r="AM155" s="44"/>
    </row>
    <row r="156" spans="2:39" ht="13.8" x14ac:dyDescent="0.25">
      <c r="B156" s="45" t="str">
        <f t="shared" si="2"/>
        <v>SR-7_Gree_CR-7</v>
      </c>
      <c r="C156" s="29" t="str">
        <f>'Table 1'!A149</f>
        <v>SR-732 (Jensen Beach Blvd)</v>
      </c>
      <c r="D156" s="29" t="str">
        <f>'Table 1'!B149</f>
        <v>Green River Pkwy</v>
      </c>
      <c r="E156" s="29" t="str">
        <f>'Table 1'!C149</f>
        <v>CR-723</v>
      </c>
      <c r="F156" s="44"/>
      <c r="G156" s="44"/>
      <c r="H156" s="44"/>
      <c r="I156" s="44"/>
      <c r="J156" s="44"/>
      <c r="K156" s="29" t="str">
        <f>'Table 1'!D149</f>
        <v>C3R</v>
      </c>
      <c r="L156" s="29"/>
      <c r="M156" s="44"/>
      <c r="N156" s="46">
        <f>'Table 1'!E149</f>
        <v>1945</v>
      </c>
      <c r="O156" s="44"/>
      <c r="P156" s="44"/>
      <c r="Q156" s="44"/>
      <c r="R156" s="29">
        <f>'Table 1'!F149</f>
        <v>24777</v>
      </c>
      <c r="S156" s="44"/>
      <c r="T156" s="29" t="str">
        <f>'Table 1'!H149</f>
        <v>C</v>
      </c>
      <c r="U156" s="29"/>
      <c r="V156" s="29"/>
      <c r="W156" s="29"/>
      <c r="X156" s="29"/>
      <c r="Y156" s="44"/>
      <c r="Z156" s="44"/>
      <c r="AA156" s="44"/>
      <c r="AB156" s="44"/>
      <c r="AC156" s="44"/>
      <c r="AD156" s="44"/>
      <c r="AE156" s="46">
        <f>'Table 1'!G149</f>
        <v>1156</v>
      </c>
      <c r="AF156" s="44"/>
      <c r="AG156" s="44"/>
      <c r="AH156" s="44"/>
      <c r="AI156" s="47">
        <f>'Table 1'!I149*100</f>
        <v>1</v>
      </c>
      <c r="AJ156" s="44"/>
      <c r="AK156" s="44"/>
      <c r="AL156" s="44"/>
      <c r="AM156" s="44"/>
    </row>
    <row r="157" spans="2:39" ht="13.8" x14ac:dyDescent="0.25">
      <c r="B157" s="45" t="str">
        <f t="shared" si="2"/>
        <v>SR-7_SR-1_SR-7</v>
      </c>
      <c r="C157" s="29" t="str">
        <f>'Table 1'!A150</f>
        <v>SR-76 (Kanner Hwy)</v>
      </c>
      <c r="D157" s="29" t="str">
        <f>'Table 1'!B150</f>
        <v>SR-15</v>
      </c>
      <c r="E157" s="29" t="str">
        <f>'Table 1'!C150</f>
        <v>SR-710</v>
      </c>
      <c r="F157" s="44"/>
      <c r="G157" s="44"/>
      <c r="H157" s="44"/>
      <c r="I157" s="44"/>
      <c r="J157" s="44"/>
      <c r="K157" s="29" t="str">
        <f>'Table 1'!D150</f>
        <v>C2</v>
      </c>
      <c r="L157" s="29"/>
      <c r="M157" s="44"/>
      <c r="N157" s="46">
        <f>'Table 1'!E150</f>
        <v>730</v>
      </c>
      <c r="O157" s="44"/>
      <c r="P157" s="44"/>
      <c r="Q157" s="44"/>
      <c r="R157" s="29">
        <f>'Table 1'!F150</f>
        <v>2170</v>
      </c>
      <c r="S157" s="44"/>
      <c r="T157" s="29" t="str">
        <f>'Table 1'!H150</f>
        <v>A/B</v>
      </c>
      <c r="U157" s="29"/>
      <c r="V157" s="29"/>
      <c r="W157" s="29"/>
      <c r="X157" s="29"/>
      <c r="Y157" s="44"/>
      <c r="Z157" s="44"/>
      <c r="AA157" s="44"/>
      <c r="AB157" s="44"/>
      <c r="AC157" s="44"/>
      <c r="AD157" s="44"/>
      <c r="AE157" s="46">
        <f>'Table 1'!G150</f>
        <v>101</v>
      </c>
      <c r="AF157" s="44"/>
      <c r="AG157" s="44"/>
      <c r="AH157" s="44"/>
      <c r="AI157" s="47">
        <f>'Table 1'!I150*100</f>
        <v>0.5</v>
      </c>
      <c r="AJ157" s="44"/>
      <c r="AK157" s="44"/>
      <c r="AL157" s="44"/>
      <c r="AM157" s="44"/>
    </row>
    <row r="158" spans="2:39" ht="13.8" x14ac:dyDescent="0.25">
      <c r="B158" s="45" t="str">
        <f t="shared" si="2"/>
        <v>SR-7_SR-7_CR-7</v>
      </c>
      <c r="C158" s="29" t="str">
        <f>'Table 1'!A151</f>
        <v>SR-76 (Kanner Hwy)</v>
      </c>
      <c r="D158" s="29" t="str">
        <f>'Table 1'!B151</f>
        <v>SR-710</v>
      </c>
      <c r="E158" s="29" t="str">
        <f>'Table 1'!C151</f>
        <v>CR-708</v>
      </c>
      <c r="F158" s="44"/>
      <c r="G158" s="44"/>
      <c r="H158" s="44"/>
      <c r="I158" s="44"/>
      <c r="J158" s="44"/>
      <c r="K158" s="29" t="str">
        <f>'Table 1'!D151</f>
        <v>C2</v>
      </c>
      <c r="L158" s="29"/>
      <c r="M158" s="44"/>
      <c r="N158" s="46">
        <f>'Table 1'!E151</f>
        <v>730</v>
      </c>
      <c r="O158" s="44"/>
      <c r="P158" s="44"/>
      <c r="Q158" s="44"/>
      <c r="R158" s="29">
        <f>'Table 1'!F151</f>
        <v>3653</v>
      </c>
      <c r="S158" s="44"/>
      <c r="T158" s="29" t="str">
        <f>'Table 1'!H151</f>
        <v>A/B</v>
      </c>
      <c r="U158" s="29"/>
      <c r="V158" s="29"/>
      <c r="W158" s="29"/>
      <c r="X158" s="29"/>
      <c r="Y158" s="44"/>
      <c r="Z158" s="44"/>
      <c r="AA158" s="44"/>
      <c r="AB158" s="44"/>
      <c r="AC158" s="44"/>
      <c r="AD158" s="44"/>
      <c r="AE158" s="46">
        <f>'Table 1'!G151</f>
        <v>183</v>
      </c>
      <c r="AF158" s="44"/>
      <c r="AG158" s="44"/>
      <c r="AH158" s="44"/>
      <c r="AI158" s="47">
        <f>'Table 1'!I151*100</f>
        <v>1.7000000000000002</v>
      </c>
      <c r="AJ158" s="44"/>
      <c r="AK158" s="44"/>
      <c r="AL158" s="44"/>
      <c r="AM158" s="44"/>
    </row>
    <row r="159" spans="2:39" ht="13.8" x14ac:dyDescent="0.25">
      <c r="B159" s="45" t="str">
        <f t="shared" si="2"/>
        <v>SR-7_CR-7_Wate</v>
      </c>
      <c r="C159" s="29" t="str">
        <f>'Table 1'!A152</f>
        <v>SR-76 (Kanner Hwy)</v>
      </c>
      <c r="D159" s="29" t="str">
        <f>'Table 1'!B152</f>
        <v>CR-708</v>
      </c>
      <c r="E159" s="29" t="str">
        <f>'Table 1'!C152</f>
        <v>Waterside</v>
      </c>
      <c r="F159" s="44"/>
      <c r="G159" s="44"/>
      <c r="H159" s="44"/>
      <c r="I159" s="44"/>
      <c r="J159" s="44"/>
      <c r="K159" s="29" t="str">
        <f>'Table 1'!D152</f>
        <v>C2</v>
      </c>
      <c r="L159" s="29"/>
      <c r="M159" s="44"/>
      <c r="N159" s="46">
        <f>'Table 1'!E152</f>
        <v>730</v>
      </c>
      <c r="O159" s="44"/>
      <c r="P159" s="44"/>
      <c r="Q159" s="44"/>
      <c r="R159" s="29">
        <f>'Table 1'!F152</f>
        <v>4251</v>
      </c>
      <c r="S159" s="44"/>
      <c r="T159" s="29" t="str">
        <f>'Table 1'!H152</f>
        <v>A/B</v>
      </c>
      <c r="U159" s="29"/>
      <c r="V159" s="29"/>
      <c r="W159" s="29"/>
      <c r="X159" s="29"/>
      <c r="Y159" s="44"/>
      <c r="Z159" s="44"/>
      <c r="AA159" s="44"/>
      <c r="AB159" s="44"/>
      <c r="AC159" s="44"/>
      <c r="AD159" s="44"/>
      <c r="AE159" s="46">
        <f>'Table 1'!G152</f>
        <v>231</v>
      </c>
      <c r="AF159" s="44"/>
      <c r="AG159" s="44"/>
      <c r="AH159" s="44"/>
      <c r="AI159" s="47">
        <f>'Table 1'!I152*100</f>
        <v>8</v>
      </c>
      <c r="AJ159" s="44"/>
      <c r="AK159" s="44"/>
      <c r="AL159" s="44"/>
      <c r="AM159" s="44"/>
    </row>
    <row r="160" spans="2:39" ht="13.8" x14ac:dyDescent="0.25">
      <c r="B160" s="45" t="str">
        <f t="shared" si="2"/>
        <v>SR-7_Wate_CR-7</v>
      </c>
      <c r="C160" s="29" t="str">
        <f>'Table 1'!A153</f>
        <v>SR-76 (Kanner Hwy)</v>
      </c>
      <c r="D160" s="29" t="str">
        <f>'Table 1'!B153</f>
        <v>Waterside</v>
      </c>
      <c r="E160" s="29" t="str">
        <f>'Table 1'!C153</f>
        <v>CR-711/CR-76A</v>
      </c>
      <c r="F160" s="44"/>
      <c r="G160" s="44"/>
      <c r="H160" s="44"/>
      <c r="I160" s="44"/>
      <c r="J160" s="44"/>
      <c r="K160" s="29" t="str">
        <f>'Table 1'!D153</f>
        <v>C3C</v>
      </c>
      <c r="L160" s="29"/>
      <c r="M160" s="44"/>
      <c r="N160" s="46">
        <f>'Table 1'!E153</f>
        <v>1900</v>
      </c>
      <c r="O160" s="44"/>
      <c r="P160" s="44"/>
      <c r="Q160" s="44"/>
      <c r="R160" s="29">
        <f>'Table 1'!F153</f>
        <v>4251</v>
      </c>
      <c r="S160" s="44"/>
      <c r="T160" s="29" t="str">
        <f>'Table 1'!H153</f>
        <v>C</v>
      </c>
      <c r="U160" s="29"/>
      <c r="V160" s="29"/>
      <c r="W160" s="29"/>
      <c r="X160" s="29"/>
      <c r="Y160" s="44"/>
      <c r="Z160" s="44"/>
      <c r="AA160" s="44"/>
      <c r="AB160" s="44"/>
      <c r="AC160" s="44"/>
      <c r="AD160" s="44"/>
      <c r="AE160" s="46">
        <f>'Table 1'!G153</f>
        <v>231</v>
      </c>
      <c r="AF160" s="44"/>
      <c r="AG160" s="44"/>
      <c r="AH160" s="44"/>
      <c r="AI160" s="47">
        <f>'Table 1'!I153*100</f>
        <v>8</v>
      </c>
      <c r="AJ160" s="44"/>
      <c r="AK160" s="44"/>
      <c r="AL160" s="44"/>
      <c r="AM160" s="44"/>
    </row>
    <row r="161" spans="2:39" ht="13.8" x14ac:dyDescent="0.25">
      <c r="B161" s="45" t="str">
        <f t="shared" si="2"/>
        <v>SR-7_CR-7_Lock</v>
      </c>
      <c r="C161" s="29" t="str">
        <f>'Table 1'!A154</f>
        <v>SR-76 (Kanner Hwy)</v>
      </c>
      <c r="D161" s="29" t="str">
        <f>'Table 1'!B154</f>
        <v>CR-711/CR76A</v>
      </c>
      <c r="E161" s="29" t="str">
        <f>'Table 1'!C154</f>
        <v>Locks Rd</v>
      </c>
      <c r="F161" s="44"/>
      <c r="G161" s="44"/>
      <c r="H161" s="44"/>
      <c r="I161" s="44"/>
      <c r="J161" s="44"/>
      <c r="K161" s="29" t="str">
        <f>'Table 1'!D154</f>
        <v>C3R</v>
      </c>
      <c r="L161" s="29"/>
      <c r="M161" s="44"/>
      <c r="N161" s="46">
        <f>'Table 1'!E154</f>
        <v>1945</v>
      </c>
      <c r="O161" s="44"/>
      <c r="P161" s="44"/>
      <c r="Q161" s="44"/>
      <c r="R161" s="29">
        <f>'Table 1'!F154</f>
        <v>14335</v>
      </c>
      <c r="S161" s="44"/>
      <c r="T161" s="29" t="str">
        <f>'Table 1'!H154</f>
        <v>C</v>
      </c>
      <c r="U161" s="29"/>
      <c r="V161" s="29"/>
      <c r="W161" s="29"/>
      <c r="X161" s="29"/>
      <c r="Y161" s="44"/>
      <c r="Z161" s="44"/>
      <c r="AA161" s="44"/>
      <c r="AB161" s="44"/>
      <c r="AC161" s="44"/>
      <c r="AD161" s="44"/>
      <c r="AE161" s="46">
        <f>'Table 1'!G154</f>
        <v>889</v>
      </c>
      <c r="AF161" s="44"/>
      <c r="AG161" s="44"/>
      <c r="AH161" s="44"/>
      <c r="AI161" s="47">
        <f>'Table 1'!I154*100</f>
        <v>1.7000000000000002</v>
      </c>
      <c r="AJ161" s="44"/>
      <c r="AK161" s="44"/>
      <c r="AL161" s="44"/>
      <c r="AM161" s="44"/>
    </row>
    <row r="162" spans="2:39" ht="13.8" x14ac:dyDescent="0.25">
      <c r="B162" s="45" t="str">
        <f t="shared" si="2"/>
        <v>SR-7_Lock_Jack</v>
      </c>
      <c r="C162" s="29" t="str">
        <f>'Table 1'!A155</f>
        <v>SR-76 (Kanner Hwy)</v>
      </c>
      <c r="D162" s="29" t="str">
        <f>'Table 1'!B155</f>
        <v>Locks Rd</v>
      </c>
      <c r="E162" s="29" t="str">
        <f>'Table 1'!C155</f>
        <v>Jack James</v>
      </c>
      <c r="F162" s="44"/>
      <c r="G162" s="44"/>
      <c r="H162" s="44"/>
      <c r="I162" s="44"/>
      <c r="J162" s="44"/>
      <c r="K162" s="29" t="str">
        <f>'Table 1'!D155</f>
        <v>C3C</v>
      </c>
      <c r="L162" s="29"/>
      <c r="M162" s="44"/>
      <c r="N162" s="46">
        <f>'Table 1'!E155</f>
        <v>1900</v>
      </c>
      <c r="O162" s="44"/>
      <c r="P162" s="44"/>
      <c r="Q162" s="44"/>
      <c r="R162" s="29">
        <f>'Table 1'!F155</f>
        <v>19442</v>
      </c>
      <c r="S162" s="44"/>
      <c r="T162" s="29" t="str">
        <f>'Table 1'!H155</f>
        <v>C</v>
      </c>
      <c r="U162" s="29"/>
      <c r="V162" s="29"/>
      <c r="W162" s="29"/>
      <c r="X162" s="29"/>
      <c r="Y162" s="44"/>
      <c r="Z162" s="44"/>
      <c r="AA162" s="44"/>
      <c r="AB162" s="44"/>
      <c r="AC162" s="44"/>
      <c r="AD162" s="44"/>
      <c r="AE162" s="46">
        <f>'Table 1'!G155</f>
        <v>930</v>
      </c>
      <c r="AF162" s="44"/>
      <c r="AG162" s="44"/>
      <c r="AH162" s="44"/>
      <c r="AI162" s="47">
        <f>'Table 1'!I155*100</f>
        <v>0.5</v>
      </c>
      <c r="AJ162" s="44"/>
      <c r="AK162" s="44"/>
      <c r="AL162" s="44"/>
      <c r="AM162" s="44"/>
    </row>
    <row r="163" spans="2:39" ht="13.8" x14ac:dyDescent="0.25">
      <c r="B163" s="45" t="str">
        <f t="shared" si="2"/>
        <v>SR-7_Jack_Cove</v>
      </c>
      <c r="C163" s="29" t="str">
        <f>'Table 1'!A156</f>
        <v>SR-76 (Kanner Hwy)</v>
      </c>
      <c r="D163" s="29" t="str">
        <f>'Table 1'!B156</f>
        <v>Jack James</v>
      </c>
      <c r="E163" s="29" t="str">
        <f>'Table 1'!C156</f>
        <v>Cove Rd</v>
      </c>
      <c r="F163" s="44"/>
      <c r="G163" s="44"/>
      <c r="H163" s="44"/>
      <c r="I163" s="44"/>
      <c r="J163" s="44"/>
      <c r="K163" s="29" t="str">
        <f>'Table 1'!D156</f>
        <v>C3C</v>
      </c>
      <c r="L163" s="29"/>
      <c r="M163" s="44"/>
      <c r="N163" s="46">
        <f>'Table 1'!E156</f>
        <v>2815</v>
      </c>
      <c r="O163" s="44"/>
      <c r="P163" s="44"/>
      <c r="Q163" s="44"/>
      <c r="R163" s="29">
        <f>'Table 1'!F156</f>
        <v>50473</v>
      </c>
      <c r="S163" s="44"/>
      <c r="T163" s="29" t="str">
        <f>'Table 1'!H156</f>
        <v>D</v>
      </c>
      <c r="U163" s="29"/>
      <c r="V163" s="29"/>
      <c r="W163" s="29"/>
      <c r="X163" s="29"/>
      <c r="Y163" s="44"/>
      <c r="Z163" s="44"/>
      <c r="AA163" s="44"/>
      <c r="AB163" s="44"/>
      <c r="AC163" s="44"/>
      <c r="AD163" s="44"/>
      <c r="AE163" s="46">
        <f>'Table 1'!G156</f>
        <v>2651</v>
      </c>
      <c r="AF163" s="44"/>
      <c r="AG163" s="44"/>
      <c r="AH163" s="44"/>
      <c r="AI163" s="47">
        <f>'Table 1'!I156*100</f>
        <v>3.5999999999999996</v>
      </c>
      <c r="AJ163" s="44"/>
      <c r="AK163" s="44"/>
      <c r="AL163" s="44"/>
      <c r="AM163" s="44"/>
    </row>
    <row r="164" spans="2:39" ht="13.8" x14ac:dyDescent="0.25">
      <c r="B164" s="45" t="str">
        <f t="shared" si="2"/>
        <v>SR-7_Cove_Sale</v>
      </c>
      <c r="C164" s="29" t="str">
        <f>'Table 1'!A157</f>
        <v>SR-76 (Kanner Hwy)</v>
      </c>
      <c r="D164" s="29" t="str">
        <f>'Table 1'!B157</f>
        <v>Cove Rd</v>
      </c>
      <c r="E164" s="29" t="str">
        <f>'Table 1'!C157</f>
        <v>Salerno Rd</v>
      </c>
      <c r="F164" s="44"/>
      <c r="G164" s="44"/>
      <c r="H164" s="44"/>
      <c r="I164" s="44"/>
      <c r="J164" s="44"/>
      <c r="K164" s="29" t="str">
        <f>'Table 1'!D157</f>
        <v>C3C</v>
      </c>
      <c r="L164" s="29"/>
      <c r="M164" s="44"/>
      <c r="N164" s="46">
        <f>'Table 1'!E157</f>
        <v>2815</v>
      </c>
      <c r="O164" s="44"/>
      <c r="P164" s="44"/>
      <c r="Q164" s="44"/>
      <c r="R164" s="29">
        <f>'Table 1'!F157</f>
        <v>41471</v>
      </c>
      <c r="S164" s="44"/>
      <c r="T164" s="29" t="str">
        <f>'Table 1'!H157</f>
        <v>C</v>
      </c>
      <c r="U164" s="29"/>
      <c r="V164" s="29"/>
      <c r="W164" s="29"/>
      <c r="X164" s="29"/>
      <c r="Y164" s="44"/>
      <c r="Z164" s="44"/>
      <c r="AA164" s="44"/>
      <c r="AB164" s="44"/>
      <c r="AC164" s="44"/>
      <c r="AD164" s="44"/>
      <c r="AE164" s="46">
        <f>'Table 1'!G157</f>
        <v>2117</v>
      </c>
      <c r="AF164" s="44"/>
      <c r="AG164" s="44"/>
      <c r="AH164" s="44"/>
      <c r="AI164" s="47">
        <f>'Table 1'!I157*100</f>
        <v>4.7</v>
      </c>
      <c r="AJ164" s="44"/>
      <c r="AK164" s="44"/>
      <c r="AL164" s="44"/>
      <c r="AM164" s="44"/>
    </row>
    <row r="165" spans="2:39" ht="13.8" x14ac:dyDescent="0.25">
      <c r="B165" s="45" t="str">
        <f t="shared" si="2"/>
        <v>SR-7_Sale_Indi</v>
      </c>
      <c r="C165" s="29" t="str">
        <f>'Table 1'!A158</f>
        <v>SR-76 (Kanner Hwy)</v>
      </c>
      <c r="D165" s="29" t="str">
        <f>'Table 1'!B158</f>
        <v>Salerno Rd</v>
      </c>
      <c r="E165" s="29" t="str">
        <f>'Table 1'!C158</f>
        <v>Indian St</v>
      </c>
      <c r="F165" s="44"/>
      <c r="G165" s="44"/>
      <c r="H165" s="44"/>
      <c r="I165" s="44"/>
      <c r="J165" s="44"/>
      <c r="K165" s="29" t="str">
        <f>'Table 1'!D158</f>
        <v>C3R</v>
      </c>
      <c r="L165" s="29"/>
      <c r="M165" s="44"/>
      <c r="N165" s="46">
        <f>'Table 1'!E158</f>
        <v>2865</v>
      </c>
      <c r="O165" s="44"/>
      <c r="P165" s="44"/>
      <c r="Q165" s="44"/>
      <c r="R165" s="29">
        <f>'Table 1'!F158</f>
        <v>37689</v>
      </c>
      <c r="S165" s="44"/>
      <c r="T165" s="29" t="str">
        <f>'Table 1'!H158</f>
        <v>C</v>
      </c>
      <c r="U165" s="29"/>
      <c r="V165" s="29"/>
      <c r="W165" s="29"/>
      <c r="X165" s="29"/>
      <c r="Y165" s="44"/>
      <c r="Z165" s="44"/>
      <c r="AA165" s="44"/>
      <c r="AB165" s="44"/>
      <c r="AC165" s="44"/>
      <c r="AD165" s="44"/>
      <c r="AE165" s="46">
        <f>'Table 1'!G158</f>
        <v>1634</v>
      </c>
      <c r="AF165" s="44"/>
      <c r="AG165" s="44"/>
      <c r="AH165" s="44"/>
      <c r="AI165" s="47">
        <f>'Table 1'!I158*100</f>
        <v>5.0999999999999996</v>
      </c>
      <c r="AJ165" s="44"/>
      <c r="AK165" s="44"/>
      <c r="AL165" s="44"/>
      <c r="AM165" s="44"/>
    </row>
    <row r="166" spans="2:39" ht="13.8" x14ac:dyDescent="0.25">
      <c r="B166" s="45" t="str">
        <f t="shared" si="2"/>
        <v>SR-7_Indi_SR-7</v>
      </c>
      <c r="C166" s="29" t="str">
        <f>'Table 1'!A159</f>
        <v>SR-76 (Kanner Hwy)</v>
      </c>
      <c r="D166" s="29" t="str">
        <f>'Table 1'!B159</f>
        <v>Indian St</v>
      </c>
      <c r="E166" s="29" t="str">
        <f>'Table 1'!C159</f>
        <v>SR-714</v>
      </c>
      <c r="F166" s="44"/>
      <c r="G166" s="44"/>
      <c r="H166" s="44"/>
      <c r="I166" s="44"/>
      <c r="J166" s="44"/>
      <c r="K166" s="29" t="str">
        <f>'Table 1'!D159</f>
        <v>C3C</v>
      </c>
      <c r="L166" s="29"/>
      <c r="M166" s="44"/>
      <c r="N166" s="46">
        <f>'Table 1'!E159</f>
        <v>2815</v>
      </c>
      <c r="O166" s="44"/>
      <c r="P166" s="44"/>
      <c r="Q166" s="44"/>
      <c r="R166" s="29">
        <f>'Table 1'!F159</f>
        <v>25896</v>
      </c>
      <c r="S166" s="44"/>
      <c r="T166" s="29" t="str">
        <f>'Table 1'!H159</f>
        <v>C</v>
      </c>
      <c r="U166" s="29"/>
      <c r="V166" s="29"/>
      <c r="W166" s="29"/>
      <c r="X166" s="29"/>
      <c r="Y166" s="44"/>
      <c r="Z166" s="44"/>
      <c r="AA166" s="44"/>
      <c r="AB166" s="44"/>
      <c r="AC166" s="44"/>
      <c r="AD166" s="44"/>
      <c r="AE166" s="46">
        <f>'Table 1'!G159</f>
        <v>1071</v>
      </c>
      <c r="AF166" s="44"/>
      <c r="AG166" s="44"/>
      <c r="AH166" s="44"/>
      <c r="AI166" s="47">
        <f>'Table 1'!I159*100</f>
        <v>5.2</v>
      </c>
      <c r="AJ166" s="44"/>
      <c r="AK166" s="44"/>
      <c r="AL166" s="44"/>
      <c r="AM166" s="44"/>
    </row>
    <row r="167" spans="2:39" ht="13.8" x14ac:dyDescent="0.25">
      <c r="B167" s="45" t="str">
        <f t="shared" si="2"/>
        <v>SR-7_SR-7_SR-5</v>
      </c>
      <c r="C167" s="29" t="str">
        <f>'Table 1'!A160</f>
        <v>SR-76 (Kanner Hwy)</v>
      </c>
      <c r="D167" s="29" t="str">
        <f>'Table 1'!B160</f>
        <v>SR-714</v>
      </c>
      <c r="E167" s="29" t="str">
        <f>'Table 1'!C160</f>
        <v>SR-5</v>
      </c>
      <c r="F167" s="44"/>
      <c r="G167" s="44"/>
      <c r="H167" s="44"/>
      <c r="I167" s="44"/>
      <c r="J167" s="44"/>
      <c r="K167" s="29" t="str">
        <f>'Table 1'!D160</f>
        <v>C3C</v>
      </c>
      <c r="L167" s="29"/>
      <c r="M167" s="44"/>
      <c r="N167" s="46">
        <f>'Table 1'!E160</f>
        <v>2815</v>
      </c>
      <c r="O167" s="44"/>
      <c r="P167" s="44"/>
      <c r="Q167" s="44"/>
      <c r="R167" s="29">
        <f>'Table 1'!F160</f>
        <v>27309</v>
      </c>
      <c r="S167" s="44"/>
      <c r="T167" s="29" t="str">
        <f>'Table 1'!H160</f>
        <v>C</v>
      </c>
      <c r="U167" s="29"/>
      <c r="V167" s="29"/>
      <c r="W167" s="29"/>
      <c r="X167" s="29"/>
      <c r="Y167" s="44"/>
      <c r="Z167" s="44"/>
      <c r="AA167" s="44"/>
      <c r="AB167" s="44"/>
      <c r="AC167" s="44"/>
      <c r="AD167" s="44"/>
      <c r="AE167" s="46">
        <f>'Table 1'!G160</f>
        <v>1092</v>
      </c>
      <c r="AF167" s="44"/>
      <c r="AG167" s="44"/>
      <c r="AH167" s="44"/>
      <c r="AI167" s="47">
        <f>'Table 1'!I160*100</f>
        <v>2.1</v>
      </c>
      <c r="AJ167" s="44"/>
      <c r="AK167" s="44"/>
      <c r="AL167" s="44"/>
      <c r="AM167" s="44"/>
    </row>
    <row r="168" spans="2:39" ht="13.8" x14ac:dyDescent="0.25">
      <c r="B168" s="45" t="str">
        <f t="shared" si="2"/>
        <v>SR-A_SR-7_St L</v>
      </c>
      <c r="C168" s="29" t="str">
        <f>'Table 1'!A161</f>
        <v>SR-A1A (Ocean Blvd)</v>
      </c>
      <c r="D168" s="29" t="str">
        <f>'Table 1'!B161</f>
        <v>SR-714</v>
      </c>
      <c r="E168" s="29" t="str">
        <f>'Table 1'!C161</f>
        <v>St Lucie Blvd</v>
      </c>
      <c r="F168" s="44"/>
      <c r="G168" s="44"/>
      <c r="H168" s="44"/>
      <c r="I168" s="44"/>
      <c r="J168" s="44"/>
      <c r="K168" s="29" t="str">
        <f>'Table 1'!D161</f>
        <v>C3C</v>
      </c>
      <c r="L168" s="29"/>
      <c r="M168" s="44"/>
      <c r="N168" s="46">
        <f>'Table 1'!E161</f>
        <v>1900</v>
      </c>
      <c r="O168" s="44"/>
      <c r="P168" s="44"/>
      <c r="Q168" s="44"/>
      <c r="R168" s="29">
        <f>'Table 1'!F161</f>
        <v>20956</v>
      </c>
      <c r="S168" s="44"/>
      <c r="T168" s="29" t="str">
        <f>'Table 1'!H161</f>
        <v>C</v>
      </c>
      <c r="U168" s="29"/>
      <c r="V168" s="29"/>
      <c r="W168" s="29"/>
      <c r="X168" s="29"/>
      <c r="Y168" s="44"/>
      <c r="Z168" s="44"/>
      <c r="AA168" s="44"/>
      <c r="AB168" s="44"/>
      <c r="AC168" s="44"/>
      <c r="AD168" s="44"/>
      <c r="AE168" s="46">
        <f>'Table 1'!G161</f>
        <v>1111</v>
      </c>
      <c r="AF168" s="44"/>
      <c r="AG168" s="44"/>
      <c r="AH168" s="44"/>
      <c r="AI168" s="47">
        <f>'Table 1'!I161*100</f>
        <v>1.9</v>
      </c>
      <c r="AJ168" s="44"/>
      <c r="AK168" s="44"/>
      <c r="AL168" s="44"/>
      <c r="AM168" s="44"/>
    </row>
    <row r="169" spans="2:39" ht="13.8" x14ac:dyDescent="0.25">
      <c r="B169" s="45" t="str">
        <f t="shared" si="2"/>
        <v>SR-A_St L_Sewa</v>
      </c>
      <c r="C169" s="29" t="str">
        <f>'Table 1'!A162</f>
        <v>SR-A1A (Ocean Blvd)</v>
      </c>
      <c r="D169" s="29" t="str">
        <f>'Table 1'!B162</f>
        <v>St Lucie Blvd</v>
      </c>
      <c r="E169" s="29" t="str">
        <f>'Table 1'!C162</f>
        <v>Sewalls Point Rd</v>
      </c>
      <c r="F169" s="44"/>
      <c r="G169" s="44"/>
      <c r="H169" s="44"/>
      <c r="I169" s="44"/>
      <c r="J169" s="44"/>
      <c r="K169" s="29" t="str">
        <f>'Table 1'!D162</f>
        <v>C3R</v>
      </c>
      <c r="L169" s="29"/>
      <c r="M169" s="44"/>
      <c r="N169" s="46">
        <f>'Table 1'!E162</f>
        <v>1945</v>
      </c>
      <c r="O169" s="44"/>
      <c r="P169" s="44"/>
      <c r="Q169" s="44"/>
      <c r="R169" s="29">
        <f>'Table 1'!F162</f>
        <v>23666</v>
      </c>
      <c r="S169" s="44"/>
      <c r="T169" s="29" t="str">
        <f>'Table 1'!H162</f>
        <v>C</v>
      </c>
      <c r="U169" s="29"/>
      <c r="V169" s="29"/>
      <c r="W169" s="29"/>
      <c r="X169" s="29"/>
      <c r="Y169" s="44"/>
      <c r="Z169" s="44"/>
      <c r="AA169" s="44"/>
      <c r="AB169" s="44"/>
      <c r="AC169" s="44"/>
      <c r="AD169" s="44"/>
      <c r="AE169" s="46">
        <f>'Table 1'!G162</f>
        <v>1135</v>
      </c>
      <c r="AF169" s="44"/>
      <c r="AG169" s="44"/>
      <c r="AH169" s="44"/>
      <c r="AI169" s="47">
        <f>'Table 1'!I162*100</f>
        <v>0.70000000000000007</v>
      </c>
      <c r="AJ169" s="44"/>
      <c r="AK169" s="44"/>
      <c r="AL169" s="44"/>
      <c r="AM169" s="44"/>
    </row>
    <row r="170" spans="2:39" ht="13.8" x14ac:dyDescent="0.25">
      <c r="B170" s="45" t="str">
        <f t="shared" si="2"/>
        <v>SR-A_Sewa_Maca</v>
      </c>
      <c r="C170" s="29" t="str">
        <f>'Table 1'!A163</f>
        <v>SR-A1A (Ocean Blvd)</v>
      </c>
      <c r="D170" s="29" t="str">
        <f>'Table 1'!B163</f>
        <v>Sewalls Point Rd</v>
      </c>
      <c r="E170" s="29" t="str">
        <f>'Table 1'!C163</f>
        <v>Macarthur Blvd</v>
      </c>
      <c r="F170" s="44"/>
      <c r="G170" s="44"/>
      <c r="H170" s="44"/>
      <c r="I170" s="44"/>
      <c r="J170" s="44"/>
      <c r="K170" s="29" t="str">
        <f>'Table 1'!D163</f>
        <v>C3R</v>
      </c>
      <c r="L170" s="29"/>
      <c r="M170" s="44"/>
      <c r="N170" s="46">
        <f>'Table 1'!E163</f>
        <v>1165</v>
      </c>
      <c r="O170" s="44"/>
      <c r="P170" s="44"/>
      <c r="Q170" s="44"/>
      <c r="R170" s="29">
        <f>'Table 1'!F163</f>
        <v>14409</v>
      </c>
      <c r="S170" s="44"/>
      <c r="T170" s="29" t="str">
        <f>'Table 1'!H163</f>
        <v>C</v>
      </c>
      <c r="U170" s="29"/>
      <c r="V170" s="29"/>
      <c r="W170" s="29"/>
      <c r="X170" s="29"/>
      <c r="Y170" s="44"/>
      <c r="Z170" s="44"/>
      <c r="AA170" s="44"/>
      <c r="AB170" s="44"/>
      <c r="AC170" s="44"/>
      <c r="AD170" s="44"/>
      <c r="AE170" s="46">
        <f>'Table 1'!G163</f>
        <v>676</v>
      </c>
      <c r="AF170" s="44"/>
      <c r="AG170" s="44"/>
      <c r="AH170" s="44"/>
      <c r="AI170" s="47">
        <f>'Table 1'!I163*100</f>
        <v>1.5</v>
      </c>
      <c r="AJ170" s="44"/>
      <c r="AK170" s="44"/>
      <c r="AL170" s="44"/>
      <c r="AM170" s="44"/>
    </row>
    <row r="171" spans="2:39" ht="13.8" x14ac:dyDescent="0.25">
      <c r="B171" s="45" t="str">
        <f t="shared" si="2"/>
        <v>SR-A_MacA_SR-7</v>
      </c>
      <c r="C171" s="29" t="str">
        <f>'Table 1'!A164</f>
        <v>SR-A1A (Ocean Blvd)</v>
      </c>
      <c r="D171" s="29" t="str">
        <f>'Table 1'!B164</f>
        <v>MacArthur Blvd</v>
      </c>
      <c r="E171" s="29" t="str">
        <f>'Table 1'!C164</f>
        <v>SR-732</v>
      </c>
      <c r="F171" s="44"/>
      <c r="G171" s="44"/>
      <c r="H171" s="44"/>
      <c r="I171" s="44"/>
      <c r="J171" s="44"/>
      <c r="K171" s="29" t="str">
        <f>'Table 1'!D164</f>
        <v>C3R</v>
      </c>
      <c r="L171" s="29"/>
      <c r="M171" s="44"/>
      <c r="N171" s="46">
        <f>'Table 1'!E164</f>
        <v>1165</v>
      </c>
      <c r="O171" s="44"/>
      <c r="P171" s="44"/>
      <c r="Q171" s="44"/>
      <c r="R171" s="29">
        <f>'Table 1'!F164</f>
        <v>8439</v>
      </c>
      <c r="S171" s="44"/>
      <c r="T171" s="29" t="str">
        <f>'Table 1'!H164</f>
        <v>C</v>
      </c>
      <c r="U171" s="29"/>
      <c r="V171" s="29"/>
      <c r="W171" s="29"/>
      <c r="X171" s="29"/>
      <c r="Y171" s="44"/>
      <c r="Z171" s="44"/>
      <c r="AA171" s="44"/>
      <c r="AB171" s="44"/>
      <c r="AC171" s="44"/>
      <c r="AD171" s="44"/>
      <c r="AE171" s="46">
        <f>'Table 1'!G164</f>
        <v>410</v>
      </c>
      <c r="AF171" s="44"/>
      <c r="AG171" s="44"/>
      <c r="AH171" s="44"/>
      <c r="AI171" s="47">
        <f>'Table 1'!I164*100</f>
        <v>0.5</v>
      </c>
      <c r="AJ171" s="44"/>
      <c r="AK171" s="44"/>
      <c r="AL171" s="44"/>
      <c r="AM171" s="44"/>
    </row>
    <row r="172" spans="2:39" ht="13.8" x14ac:dyDescent="0.25">
      <c r="B172" s="45" t="str">
        <f t="shared" si="2"/>
        <v>SR-A_SR-7_St L</v>
      </c>
      <c r="C172" s="29" t="str">
        <f>'Table 1'!A165</f>
        <v>SR-A1A (Ocean Blvd)</v>
      </c>
      <c r="D172" s="29" t="str">
        <f>'Table 1'!B165</f>
        <v>SR-732</v>
      </c>
      <c r="E172" s="29" t="str">
        <f>'Table 1'!C165</f>
        <v>St Lucie County</v>
      </c>
      <c r="F172" s="44"/>
      <c r="G172" s="44"/>
      <c r="H172" s="44"/>
      <c r="I172" s="44"/>
      <c r="J172" s="44"/>
      <c r="K172" s="29" t="str">
        <f>'Table 1'!D165</f>
        <v>C3R</v>
      </c>
      <c r="L172" s="29"/>
      <c r="M172" s="44"/>
      <c r="N172" s="46">
        <f>'Table 1'!E165</f>
        <v>1165</v>
      </c>
      <c r="O172" s="44"/>
      <c r="P172" s="44"/>
      <c r="Q172" s="44"/>
      <c r="R172" s="29">
        <f>'Table 1'!F165</f>
        <v>14790</v>
      </c>
      <c r="S172" s="44"/>
      <c r="T172" s="29" t="str">
        <f>'Table 1'!H165</f>
        <v>C</v>
      </c>
      <c r="U172" s="29"/>
      <c r="V172" s="29"/>
      <c r="W172" s="29"/>
      <c r="X172" s="29"/>
      <c r="Y172" s="44"/>
      <c r="Z172" s="44"/>
      <c r="AA172" s="44"/>
      <c r="AB172" s="44"/>
      <c r="AC172" s="44"/>
      <c r="AD172" s="44"/>
      <c r="AE172" s="46">
        <f>'Table 1'!G165</f>
        <v>880</v>
      </c>
      <c r="AF172" s="44"/>
      <c r="AG172" s="44"/>
      <c r="AH172" s="44"/>
      <c r="AI172" s="47">
        <f>'Table 1'!I165*100</f>
        <v>0.5</v>
      </c>
      <c r="AJ172" s="44"/>
      <c r="AK172" s="44"/>
      <c r="AL172" s="44"/>
      <c r="AM172" s="44"/>
    </row>
    <row r="173" spans="2:39" ht="13.8" x14ac:dyDescent="0.25">
      <c r="B173" s="45" t="str">
        <f t="shared" si="2"/>
        <v>St L_CR-A_Indi</v>
      </c>
      <c r="C173" s="29" t="str">
        <f>'Table 1'!A166</f>
        <v>St Lucie Blvd</v>
      </c>
      <c r="D173" s="29" t="str">
        <f>'Table 1'!B166</f>
        <v>CR-A1A</v>
      </c>
      <c r="E173" s="29" t="str">
        <f>'Table 1'!C166</f>
        <v>Indian St</v>
      </c>
      <c r="F173" s="44"/>
      <c r="G173" s="44"/>
      <c r="H173" s="44"/>
      <c r="I173" s="44"/>
      <c r="J173" s="44"/>
      <c r="K173" s="29" t="str">
        <f>'Table 1'!D166</f>
        <v>C3R</v>
      </c>
      <c r="L173" s="29"/>
      <c r="M173" s="44"/>
      <c r="N173" s="46">
        <f>'Table 1'!E166</f>
        <v>1110</v>
      </c>
      <c r="O173" s="44"/>
      <c r="P173" s="44"/>
      <c r="Q173" s="44"/>
      <c r="R173" s="29">
        <f>'Table 1'!F166</f>
        <v>3899</v>
      </c>
      <c r="S173" s="44"/>
      <c r="T173" s="29" t="str">
        <f>'Table 1'!H166</f>
        <v>C</v>
      </c>
      <c r="U173" s="29"/>
      <c r="V173" s="29"/>
      <c r="W173" s="29"/>
      <c r="X173" s="29"/>
      <c r="Y173" s="44"/>
      <c r="Z173" s="44"/>
      <c r="AA173" s="44"/>
      <c r="AB173" s="44"/>
      <c r="AC173" s="44"/>
      <c r="AD173" s="44"/>
      <c r="AE173" s="46">
        <f>'Table 1'!G166</f>
        <v>194</v>
      </c>
      <c r="AF173" s="44"/>
      <c r="AG173" s="44"/>
      <c r="AH173" s="44"/>
      <c r="AI173" s="47">
        <f>'Table 1'!I166*100</f>
        <v>4.2</v>
      </c>
      <c r="AJ173" s="44"/>
      <c r="AK173" s="44"/>
      <c r="AL173" s="44"/>
      <c r="AM173" s="44"/>
    </row>
    <row r="174" spans="2:39" ht="13.8" x14ac:dyDescent="0.25">
      <c r="B174" s="45" t="str">
        <f t="shared" si="2"/>
        <v>St L_Indi_SR-A</v>
      </c>
      <c r="C174" s="29" t="str">
        <f>'Table 1'!A167</f>
        <v>St Lucie Blvd</v>
      </c>
      <c r="D174" s="29" t="str">
        <f>'Table 1'!B167</f>
        <v>Indian St</v>
      </c>
      <c r="E174" s="29" t="str">
        <f>'Table 1'!C167</f>
        <v>SR-A1A</v>
      </c>
      <c r="F174" s="44"/>
      <c r="G174" s="44"/>
      <c r="H174" s="44"/>
      <c r="I174" s="44"/>
      <c r="J174" s="44"/>
      <c r="K174" s="29" t="str">
        <f>'Table 1'!D167</f>
        <v>C3R</v>
      </c>
      <c r="L174" s="29"/>
      <c r="M174" s="44"/>
      <c r="N174" s="46">
        <f>'Table 1'!E167</f>
        <v>1110</v>
      </c>
      <c r="O174" s="44"/>
      <c r="P174" s="44"/>
      <c r="Q174" s="44"/>
      <c r="R174" s="29">
        <f>'Table 1'!F167</f>
        <v>7602</v>
      </c>
      <c r="S174" s="44"/>
      <c r="T174" s="29" t="str">
        <f>'Table 1'!H167</f>
        <v>C</v>
      </c>
      <c r="U174" s="29"/>
      <c r="V174" s="29"/>
      <c r="W174" s="29"/>
      <c r="X174" s="29"/>
      <c r="Y174" s="44"/>
      <c r="Z174" s="44"/>
      <c r="AA174" s="44"/>
      <c r="AB174" s="44"/>
      <c r="AC174" s="44"/>
      <c r="AD174" s="44"/>
      <c r="AE174" s="46">
        <f>'Table 1'!G167</f>
        <v>379</v>
      </c>
      <c r="AF174" s="44"/>
      <c r="AG174" s="44"/>
      <c r="AH174" s="44"/>
      <c r="AI174" s="47">
        <f>'Table 1'!I167*100</f>
        <v>0.5</v>
      </c>
      <c r="AJ174" s="44"/>
      <c r="AK174" s="44"/>
      <c r="AL174" s="44"/>
      <c r="AM174" s="44"/>
    </row>
    <row r="175" spans="2:39" ht="13.8" x14ac:dyDescent="0.25">
      <c r="B175" s="45" t="str">
        <f t="shared" si="2"/>
        <v>West_St L_SR-5</v>
      </c>
      <c r="C175" s="29" t="str">
        <f>'Table 1'!A168</f>
        <v>Westmoreland Blvd</v>
      </c>
      <c r="D175" s="29" t="str">
        <f>'Table 1'!B168</f>
        <v>St Lucie County</v>
      </c>
      <c r="E175" s="29" t="str">
        <f>'Table 1'!C168</f>
        <v>SR-5</v>
      </c>
      <c r="F175" s="44"/>
      <c r="G175" s="44"/>
      <c r="H175" s="44"/>
      <c r="I175" s="44"/>
      <c r="J175" s="44"/>
      <c r="K175" s="29" t="str">
        <f>'Table 1'!D168</f>
        <v>C3C</v>
      </c>
      <c r="L175" s="29"/>
      <c r="M175" s="44"/>
      <c r="N175" s="46">
        <f>'Table 1'!E168</f>
        <v>1125</v>
      </c>
      <c r="O175" s="44"/>
      <c r="P175" s="44"/>
      <c r="Q175" s="44"/>
      <c r="R175" s="29">
        <f>'Table 1'!F168</f>
        <v>11299</v>
      </c>
      <c r="S175" s="44"/>
      <c r="T175" s="29" t="str">
        <f>'Table 1'!H168</f>
        <v>C</v>
      </c>
      <c r="U175" s="29"/>
      <c r="V175" s="29"/>
      <c r="W175" s="29"/>
      <c r="X175" s="29"/>
      <c r="Y175" s="44"/>
      <c r="Z175" s="44"/>
      <c r="AA175" s="44"/>
      <c r="AB175" s="44"/>
      <c r="AC175" s="44"/>
      <c r="AD175" s="44"/>
      <c r="AE175" s="46">
        <f>'Table 1'!G168</f>
        <v>550</v>
      </c>
      <c r="AF175" s="44"/>
      <c r="AG175" s="44"/>
      <c r="AH175" s="44"/>
      <c r="AI175" s="47">
        <f>'Table 1'!I168*100</f>
        <v>0.5</v>
      </c>
      <c r="AJ175" s="44"/>
      <c r="AK175" s="44"/>
      <c r="AL175" s="44"/>
      <c r="AM175" s="44"/>
    </row>
    <row r="176" spans="2:39" ht="13.8" x14ac:dyDescent="0.25">
      <c r="B176" s="45" t="str">
        <f t="shared" si="2"/>
        <v>Will_Cove_Sale</v>
      </c>
      <c r="C176" s="29" t="str">
        <f>'Table 1'!A169</f>
        <v>Willoughby Blvd</v>
      </c>
      <c r="D176" s="29" t="str">
        <f>'Table 1'!B169</f>
        <v>Cove Rd</v>
      </c>
      <c r="E176" s="29" t="str">
        <f>'Table 1'!C169</f>
        <v>Salerno Rd</v>
      </c>
      <c r="F176" s="44"/>
      <c r="G176" s="44"/>
      <c r="H176" s="44"/>
      <c r="I176" s="44"/>
      <c r="J176" s="44"/>
      <c r="K176" s="29" t="str">
        <f>'Table 1'!D169</f>
        <v>C3C</v>
      </c>
      <c r="L176" s="29"/>
      <c r="M176" s="44"/>
      <c r="N176" s="46">
        <f>'Table 1'!E169</f>
        <v>1125</v>
      </c>
      <c r="O176" s="44"/>
      <c r="P176" s="44"/>
      <c r="Q176" s="44"/>
      <c r="R176" s="29">
        <f>'Table 1'!F169</f>
        <v>3669</v>
      </c>
      <c r="S176" s="44"/>
      <c r="T176" s="29" t="str">
        <f>'Table 1'!H169</f>
        <v>C</v>
      </c>
      <c r="U176" s="29"/>
      <c r="V176" s="29"/>
      <c r="W176" s="29"/>
      <c r="X176" s="29"/>
      <c r="Y176" s="44"/>
      <c r="Z176" s="44"/>
      <c r="AA176" s="44"/>
      <c r="AB176" s="44"/>
      <c r="AC176" s="44"/>
      <c r="AD176" s="44"/>
      <c r="AE176" s="46">
        <f>'Table 1'!G169</f>
        <v>305</v>
      </c>
      <c r="AF176" s="44"/>
      <c r="AG176" s="44"/>
      <c r="AH176" s="44"/>
      <c r="AI176" s="47">
        <f>'Table 1'!I169*100</f>
        <v>0.5</v>
      </c>
      <c r="AJ176" s="44"/>
      <c r="AK176" s="44"/>
      <c r="AL176" s="44"/>
      <c r="AM176" s="44"/>
    </row>
    <row r="177" spans="2:39" ht="13.8" x14ac:dyDescent="0.25">
      <c r="B177" s="45" t="str">
        <f t="shared" si="2"/>
        <v>Will_Sale_Pome</v>
      </c>
      <c r="C177" s="29" t="str">
        <f>'Table 1'!A170</f>
        <v>Willoughby Blvd</v>
      </c>
      <c r="D177" s="29" t="str">
        <f>'Table 1'!B170</f>
        <v>Salerno Rd</v>
      </c>
      <c r="E177" s="29" t="str">
        <f>'Table 1'!C170</f>
        <v>Pomeroy St</v>
      </c>
      <c r="F177" s="44"/>
      <c r="G177" s="44"/>
      <c r="H177" s="44"/>
      <c r="I177" s="44"/>
      <c r="J177" s="44"/>
      <c r="K177" s="29" t="str">
        <f>'Table 1'!D170</f>
        <v>C3R</v>
      </c>
      <c r="L177" s="29"/>
      <c r="M177" s="44"/>
      <c r="N177" s="46">
        <f>'Table 1'!E170</f>
        <v>1165</v>
      </c>
      <c r="O177" s="44"/>
      <c r="P177" s="44"/>
      <c r="Q177" s="44"/>
      <c r="R177" s="29">
        <f>'Table 1'!F170</f>
        <v>8977</v>
      </c>
      <c r="S177" s="44"/>
      <c r="T177" s="29" t="str">
        <f>'Table 1'!H170</f>
        <v>C</v>
      </c>
      <c r="U177" s="29"/>
      <c r="V177" s="29"/>
      <c r="W177" s="29"/>
      <c r="X177" s="29"/>
      <c r="Y177" s="44"/>
      <c r="Z177" s="44"/>
      <c r="AA177" s="44"/>
      <c r="AB177" s="44"/>
      <c r="AC177" s="44"/>
      <c r="AD177" s="44"/>
      <c r="AE177" s="46">
        <f>'Table 1'!G170</f>
        <v>488</v>
      </c>
      <c r="AF177" s="44"/>
      <c r="AG177" s="44"/>
      <c r="AH177" s="44"/>
      <c r="AI177" s="47">
        <f>'Table 1'!I170*100</f>
        <v>0.5</v>
      </c>
      <c r="AJ177" s="44"/>
      <c r="AK177" s="44"/>
      <c r="AL177" s="44"/>
      <c r="AM177" s="44"/>
    </row>
    <row r="178" spans="2:39" ht="13.8" x14ac:dyDescent="0.25">
      <c r="B178" s="45" t="str">
        <f t="shared" si="2"/>
        <v>Will_Pome_Indi</v>
      </c>
      <c r="C178" s="29" t="str">
        <f>'Table 1'!A171</f>
        <v>Willoughby Blvd</v>
      </c>
      <c r="D178" s="29" t="str">
        <f>'Table 1'!B171</f>
        <v>Pomeroy St</v>
      </c>
      <c r="E178" s="29" t="str">
        <f>'Table 1'!C171</f>
        <v>Indian St</v>
      </c>
      <c r="F178" s="44"/>
      <c r="G178" s="44"/>
      <c r="H178" s="44"/>
      <c r="I178" s="44"/>
      <c r="J178" s="44"/>
      <c r="K178" s="29" t="str">
        <f>'Table 1'!D171</f>
        <v>C3R</v>
      </c>
      <c r="L178" s="29"/>
      <c r="M178" s="44"/>
      <c r="N178" s="46">
        <f>'Table 1'!E171</f>
        <v>1945</v>
      </c>
      <c r="O178" s="44"/>
      <c r="P178" s="44"/>
      <c r="Q178" s="44"/>
      <c r="R178" s="29">
        <f>'Table 1'!F171</f>
        <v>10277</v>
      </c>
      <c r="S178" s="44"/>
      <c r="T178" s="29" t="str">
        <f>'Table 1'!H171</f>
        <v>C</v>
      </c>
      <c r="U178" s="29"/>
      <c r="V178" s="29"/>
      <c r="W178" s="29"/>
      <c r="X178" s="29"/>
      <c r="Y178" s="44"/>
      <c r="Z178" s="44"/>
      <c r="AA178" s="44"/>
      <c r="AB178" s="44"/>
      <c r="AC178" s="44"/>
      <c r="AD178" s="44"/>
      <c r="AE178" s="46">
        <f>'Table 1'!G171</f>
        <v>517</v>
      </c>
      <c r="AF178" s="44"/>
      <c r="AG178" s="44"/>
      <c r="AH178" s="44"/>
      <c r="AI178" s="47">
        <f>'Table 1'!I171*100</f>
        <v>0.5</v>
      </c>
      <c r="AJ178" s="44"/>
      <c r="AK178" s="44"/>
      <c r="AL178" s="44"/>
      <c r="AM178" s="44"/>
    </row>
    <row r="179" spans="2:39" ht="13.8" x14ac:dyDescent="0.25">
      <c r="B179" s="45" t="str">
        <f t="shared" si="2"/>
        <v>Will_Indi_SR-7</v>
      </c>
      <c r="C179" s="29" t="str">
        <f>'Table 1'!A172</f>
        <v>Willoughby Blvd</v>
      </c>
      <c r="D179" s="29" t="str">
        <f>'Table 1'!B172</f>
        <v>Indian St</v>
      </c>
      <c r="E179" s="29" t="str">
        <f>'Table 1'!C172</f>
        <v>SR-714</v>
      </c>
      <c r="F179" s="44"/>
      <c r="G179" s="44"/>
      <c r="H179" s="44"/>
      <c r="I179" s="44"/>
      <c r="J179" s="44"/>
      <c r="K179" s="29" t="str">
        <f>'Table 1'!D172</f>
        <v>C3C</v>
      </c>
      <c r="L179" s="29"/>
      <c r="M179" s="44"/>
      <c r="N179" s="46">
        <f>'Table 1'!E172</f>
        <v>1900</v>
      </c>
      <c r="O179" s="44"/>
      <c r="P179" s="44"/>
      <c r="Q179" s="44"/>
      <c r="R179" s="29">
        <f>'Table 1'!F172</f>
        <v>10792</v>
      </c>
      <c r="S179" s="44"/>
      <c r="T179" s="29" t="str">
        <f>'Table 1'!H172</f>
        <v>C</v>
      </c>
      <c r="U179" s="29"/>
      <c r="V179" s="29"/>
      <c r="W179" s="29"/>
      <c r="X179" s="29"/>
      <c r="Y179" s="44"/>
      <c r="Z179" s="44"/>
      <c r="AA179" s="44"/>
      <c r="AB179" s="44"/>
      <c r="AC179" s="44"/>
      <c r="AD179" s="44"/>
      <c r="AE179" s="46">
        <f>'Table 1'!G172</f>
        <v>522</v>
      </c>
      <c r="AF179" s="44"/>
      <c r="AG179" s="44"/>
      <c r="AH179" s="44"/>
      <c r="AI179" s="47">
        <f>'Table 1'!I172*100</f>
        <v>0.5</v>
      </c>
      <c r="AJ179" s="44"/>
      <c r="AK179" s="44"/>
      <c r="AL179" s="44"/>
      <c r="AM179" s="44"/>
    </row>
    <row r="180" spans="2:39" ht="13.8" x14ac:dyDescent="0.25">
      <c r="B180" s="45" t="str">
        <f t="shared" si="2"/>
        <v>Wrig_SR-5_Dixi</v>
      </c>
      <c r="C180" s="29" t="str">
        <f>'Table 1'!A173</f>
        <v>Wright Blvd</v>
      </c>
      <c r="D180" s="29" t="str">
        <f>'Table 1'!B173</f>
        <v>SR-5</v>
      </c>
      <c r="E180" s="29" t="str">
        <f>'Table 1'!C173</f>
        <v>Dixie Highway</v>
      </c>
      <c r="F180" s="44"/>
      <c r="G180" s="44"/>
      <c r="H180" s="44"/>
      <c r="I180" s="44"/>
      <c r="J180" s="44"/>
      <c r="K180" s="29" t="str">
        <f>'Table 1'!D173</f>
        <v>C4</v>
      </c>
      <c r="L180" s="29"/>
      <c r="M180" s="44"/>
      <c r="N180" s="46">
        <f>'Table 1'!E173</f>
        <v>915</v>
      </c>
      <c r="O180" s="44"/>
      <c r="P180" s="44"/>
      <c r="Q180" s="44"/>
      <c r="R180" s="29">
        <f>'Table 1'!F173</f>
        <v>10602</v>
      </c>
      <c r="S180" s="44"/>
      <c r="T180" s="29" t="str">
        <f>'Table 1'!H173</f>
        <v>D</v>
      </c>
      <c r="U180" s="29"/>
      <c r="V180" s="29"/>
      <c r="W180" s="29"/>
      <c r="X180" s="29"/>
      <c r="Y180" s="44"/>
      <c r="Z180" s="44"/>
      <c r="AA180" s="44"/>
      <c r="AB180" s="44"/>
      <c r="AC180" s="44"/>
      <c r="AD180" s="44"/>
      <c r="AE180" s="46">
        <f>'Table 1'!G173</f>
        <v>525</v>
      </c>
      <c r="AF180" s="44"/>
      <c r="AG180" s="44"/>
      <c r="AH180" s="44"/>
      <c r="AI180" s="47">
        <f>'Table 1'!I173*100</f>
        <v>0.5</v>
      </c>
      <c r="AJ180" s="44"/>
      <c r="AK180" s="44"/>
      <c r="AL180" s="44"/>
      <c r="AM180" s="44"/>
    </row>
    <row r="181" spans="2:39" ht="13.8" x14ac:dyDescent="0.25">
      <c r="B181" s="45"/>
      <c r="C181" s="29"/>
      <c r="D181" s="29"/>
      <c r="E181" s="29"/>
      <c r="F181" s="44"/>
      <c r="G181" s="44"/>
      <c r="H181" s="44"/>
      <c r="I181" s="44"/>
      <c r="J181" s="44"/>
      <c r="K181" s="29"/>
      <c r="L181" s="29"/>
      <c r="M181" s="44"/>
      <c r="N181" s="46">
        <f>'Table 1'!E174</f>
        <v>0</v>
      </c>
      <c r="O181" s="44"/>
      <c r="P181" s="44"/>
      <c r="Q181" s="44"/>
      <c r="R181" s="29"/>
      <c r="S181" s="29"/>
      <c r="T181" s="29"/>
      <c r="U181" s="29"/>
      <c r="V181" s="29"/>
      <c r="W181" s="29"/>
      <c r="X181" s="29"/>
      <c r="Y181" s="44"/>
      <c r="Z181" s="44"/>
      <c r="AA181" s="44"/>
      <c r="AB181" s="44"/>
      <c r="AC181" s="44"/>
      <c r="AD181" s="44"/>
      <c r="AE181" s="46">
        <f>'Table 1'!G174</f>
        <v>0</v>
      </c>
      <c r="AF181" s="44"/>
      <c r="AG181" s="44"/>
      <c r="AH181" s="44"/>
      <c r="AI181" s="47">
        <f>'Table 1'!I174*100</f>
        <v>0</v>
      </c>
      <c r="AJ181" s="44"/>
      <c r="AK181" s="44"/>
      <c r="AL181" s="44"/>
      <c r="AM181" s="44"/>
    </row>
    <row r="182" spans="2:39" ht="13.8" x14ac:dyDescent="0.25">
      <c r="B182" s="45"/>
      <c r="C182" s="29"/>
      <c r="D182" s="29"/>
      <c r="E182" s="29"/>
      <c r="F182" s="44"/>
      <c r="G182" s="44"/>
      <c r="H182" s="44"/>
      <c r="I182" s="44"/>
      <c r="J182" s="44"/>
      <c r="K182" s="29"/>
      <c r="L182" s="29"/>
      <c r="M182" s="44"/>
      <c r="N182" s="46">
        <f>'Table 1'!E175</f>
        <v>0</v>
      </c>
      <c r="O182" s="44"/>
      <c r="P182" s="44"/>
      <c r="Q182" s="44"/>
      <c r="R182" s="29"/>
      <c r="S182" s="44"/>
      <c r="T182" s="29"/>
      <c r="U182" s="29"/>
      <c r="V182" s="29"/>
      <c r="W182" s="29"/>
      <c r="X182" s="29"/>
      <c r="Y182" s="44"/>
      <c r="Z182" s="44"/>
      <c r="AA182" s="44"/>
      <c r="AB182" s="44"/>
      <c r="AC182" s="44"/>
      <c r="AD182" s="44"/>
      <c r="AE182" s="46">
        <f>'Table 1'!G175</f>
        <v>0</v>
      </c>
      <c r="AF182" s="44"/>
      <c r="AG182" s="44"/>
      <c r="AH182" s="44"/>
      <c r="AI182" s="47">
        <f>'Table 1'!I175*100</f>
        <v>0</v>
      </c>
      <c r="AJ182" s="44"/>
      <c r="AK182" s="44"/>
      <c r="AL182" s="44"/>
      <c r="AM182" s="44"/>
    </row>
    <row r="183" spans="2:39" ht="13.8" x14ac:dyDescent="0.25">
      <c r="B183" s="45"/>
      <c r="C183" s="29"/>
      <c r="D183" s="29"/>
      <c r="E183" s="29"/>
      <c r="F183" s="44"/>
      <c r="G183" s="44"/>
      <c r="H183" s="44"/>
      <c r="I183" s="44"/>
      <c r="J183" s="44"/>
      <c r="K183" s="29"/>
      <c r="L183" s="29"/>
      <c r="M183" s="44"/>
      <c r="N183" s="46">
        <f>'Table 1'!E176</f>
        <v>0</v>
      </c>
      <c r="O183" s="44"/>
      <c r="P183" s="44"/>
      <c r="Q183" s="44"/>
      <c r="R183" s="29"/>
      <c r="S183" s="44"/>
      <c r="T183" s="29"/>
      <c r="U183" s="29"/>
      <c r="V183" s="29"/>
      <c r="W183" s="29"/>
      <c r="X183" s="29"/>
      <c r="Y183" s="44"/>
      <c r="Z183" s="44"/>
      <c r="AA183" s="44"/>
      <c r="AB183" s="44"/>
      <c r="AC183" s="44"/>
      <c r="AD183" s="44"/>
      <c r="AE183" s="46">
        <f>'Table 1'!G176</f>
        <v>0</v>
      </c>
      <c r="AF183" s="44"/>
      <c r="AG183" s="44"/>
      <c r="AH183" s="44"/>
      <c r="AI183" s="47">
        <f>'Table 1'!I176*100</f>
        <v>0</v>
      </c>
      <c r="AJ183" s="44"/>
      <c r="AK183" s="44"/>
      <c r="AL183" s="44"/>
      <c r="AM183" s="44"/>
    </row>
    <row r="184" spans="2:39" ht="13.8" x14ac:dyDescent="0.25">
      <c r="B184" s="45"/>
      <c r="C184" s="29"/>
      <c r="D184" s="29"/>
      <c r="E184" s="29"/>
      <c r="F184" s="44"/>
      <c r="G184" s="44"/>
      <c r="H184" s="44"/>
      <c r="I184" s="44"/>
      <c r="J184" s="44"/>
      <c r="K184" s="29"/>
      <c r="L184" s="29"/>
      <c r="M184" s="44"/>
      <c r="N184" s="46">
        <f>'Table 1'!E177</f>
        <v>0</v>
      </c>
      <c r="O184" s="44"/>
      <c r="P184" s="44"/>
      <c r="Q184" s="44"/>
      <c r="R184" s="29"/>
      <c r="S184" s="44"/>
      <c r="T184" s="29"/>
      <c r="U184" s="29"/>
      <c r="V184" s="29"/>
      <c r="W184" s="29"/>
      <c r="X184" s="29"/>
      <c r="Y184" s="44"/>
      <c r="Z184" s="44"/>
      <c r="AA184" s="44"/>
      <c r="AB184" s="44"/>
      <c r="AC184" s="44"/>
      <c r="AD184" s="44"/>
      <c r="AE184" s="46">
        <f>'Table 1'!G177</f>
        <v>0</v>
      </c>
      <c r="AF184" s="44"/>
      <c r="AG184" s="44"/>
      <c r="AH184" s="44"/>
      <c r="AI184" s="47">
        <f>'Table 1'!I177*100</f>
        <v>0</v>
      </c>
      <c r="AJ184" s="44"/>
      <c r="AK184" s="44"/>
      <c r="AL184" s="44"/>
      <c r="AM184" s="44"/>
    </row>
    <row r="185" spans="2:39" ht="13.8" x14ac:dyDescent="0.25">
      <c r="B185" s="45"/>
      <c r="C185" s="29"/>
      <c r="D185" s="29"/>
      <c r="E185" s="29"/>
      <c r="F185" s="44"/>
      <c r="G185" s="44"/>
      <c r="H185" s="44"/>
      <c r="I185" s="44"/>
      <c r="J185" s="44"/>
      <c r="K185" s="29"/>
      <c r="L185" s="29"/>
      <c r="M185" s="44"/>
      <c r="N185" s="46">
        <f>'Table 1'!E178</f>
        <v>0</v>
      </c>
      <c r="O185" s="44"/>
      <c r="P185" s="44"/>
      <c r="Q185" s="44"/>
      <c r="R185" s="29"/>
      <c r="S185" s="44"/>
      <c r="T185" s="29"/>
      <c r="U185" s="29"/>
      <c r="V185" s="29"/>
      <c r="W185" s="29"/>
      <c r="X185" s="29"/>
      <c r="Y185" s="44"/>
      <c r="Z185" s="44"/>
      <c r="AA185" s="44"/>
      <c r="AB185" s="44"/>
      <c r="AC185" s="44"/>
      <c r="AD185" s="44"/>
      <c r="AE185" s="46">
        <f>'Table 1'!G178</f>
        <v>0</v>
      </c>
      <c r="AF185" s="44"/>
      <c r="AG185" s="44"/>
      <c r="AH185" s="44"/>
      <c r="AI185" s="47">
        <f>'Table 1'!I178*100</f>
        <v>0</v>
      </c>
      <c r="AJ185" s="44"/>
      <c r="AK185" s="44"/>
      <c r="AL185" s="44"/>
      <c r="AM185" s="44"/>
    </row>
    <row r="186" spans="2:39" ht="13.8" x14ac:dyDescent="0.25">
      <c r="B186" s="45"/>
      <c r="C186" s="29"/>
      <c r="D186" s="29"/>
      <c r="E186" s="29"/>
      <c r="F186" s="44"/>
      <c r="G186" s="44"/>
      <c r="H186" s="44"/>
      <c r="I186" s="44"/>
      <c r="J186" s="44"/>
      <c r="K186" s="29"/>
      <c r="L186" s="29"/>
      <c r="M186" s="44"/>
      <c r="N186" s="46">
        <f>'Table 1'!E179</f>
        <v>0</v>
      </c>
      <c r="O186" s="44"/>
      <c r="P186" s="44"/>
      <c r="Q186" s="44"/>
      <c r="R186" s="29"/>
      <c r="S186" s="44"/>
      <c r="T186" s="29"/>
      <c r="U186" s="29"/>
      <c r="V186" s="29"/>
      <c r="W186" s="29"/>
      <c r="X186" s="29"/>
      <c r="Y186" s="44"/>
      <c r="Z186" s="44"/>
      <c r="AA186" s="44"/>
      <c r="AB186" s="44"/>
      <c r="AC186" s="44"/>
      <c r="AD186" s="44"/>
      <c r="AE186" s="46">
        <f>'Table 1'!G179</f>
        <v>0</v>
      </c>
      <c r="AF186" s="44"/>
      <c r="AG186" s="44"/>
      <c r="AH186" s="44"/>
      <c r="AI186" s="47">
        <f>'Table 1'!I179*100</f>
        <v>0</v>
      </c>
      <c r="AJ186" s="44"/>
      <c r="AK186" s="44"/>
      <c r="AL186" s="44"/>
      <c r="AM186" s="44"/>
    </row>
    <row r="187" spans="2:39" ht="13.8" x14ac:dyDescent="0.25">
      <c r="B187" s="45"/>
      <c r="C187" s="29"/>
      <c r="D187" s="29"/>
      <c r="E187" s="29"/>
      <c r="F187" s="44"/>
      <c r="G187" s="44"/>
      <c r="H187" s="44"/>
      <c r="I187" s="44"/>
      <c r="J187" s="44"/>
      <c r="K187" s="29"/>
      <c r="L187" s="29"/>
      <c r="M187" s="44"/>
      <c r="N187" s="46">
        <f>'Table 1'!E180</f>
        <v>0</v>
      </c>
      <c r="O187" s="44"/>
      <c r="P187" s="44"/>
      <c r="Q187" s="44"/>
      <c r="R187" s="29"/>
      <c r="S187" s="44"/>
      <c r="T187" s="29"/>
      <c r="U187" s="29"/>
      <c r="V187" s="29"/>
      <c r="W187" s="29"/>
      <c r="X187" s="29"/>
      <c r="Y187" s="44"/>
      <c r="Z187" s="44"/>
      <c r="AA187" s="44"/>
      <c r="AB187" s="44"/>
      <c r="AC187" s="44"/>
      <c r="AD187" s="44"/>
      <c r="AE187" s="46">
        <f>'Table 1'!G180</f>
        <v>0</v>
      </c>
      <c r="AF187" s="44"/>
      <c r="AG187" s="44"/>
      <c r="AH187" s="44"/>
      <c r="AI187" s="47">
        <f>'Table 1'!I180*100</f>
        <v>0</v>
      </c>
      <c r="AJ187" s="44"/>
      <c r="AK187" s="44"/>
      <c r="AL187" s="44"/>
      <c r="AM187" s="44"/>
    </row>
    <row r="188" spans="2:39" ht="13.8" x14ac:dyDescent="0.25">
      <c r="B188" s="45"/>
      <c r="C188" s="29"/>
      <c r="D188" s="29"/>
      <c r="E188" s="29"/>
      <c r="F188" s="44"/>
      <c r="G188" s="44"/>
      <c r="H188" s="44"/>
      <c r="I188" s="44"/>
      <c r="J188" s="44"/>
      <c r="K188" s="29"/>
      <c r="L188" s="29"/>
      <c r="M188" s="44"/>
      <c r="N188" s="46">
        <f>'Table 1'!E181</f>
        <v>0</v>
      </c>
      <c r="O188" s="44"/>
      <c r="P188" s="44"/>
      <c r="Q188" s="44"/>
      <c r="R188" s="29"/>
      <c r="S188" s="44"/>
      <c r="T188" s="29"/>
      <c r="U188" s="29"/>
      <c r="V188" s="29"/>
      <c r="W188" s="29"/>
      <c r="X188" s="29"/>
      <c r="Y188" s="44"/>
      <c r="Z188" s="44"/>
      <c r="AA188" s="44"/>
      <c r="AB188" s="44"/>
      <c r="AC188" s="44"/>
      <c r="AD188" s="44"/>
      <c r="AE188" s="46">
        <f>'Table 1'!G181</f>
        <v>0</v>
      </c>
      <c r="AF188" s="44"/>
      <c r="AG188" s="44"/>
      <c r="AH188" s="44"/>
      <c r="AI188" s="47">
        <f>'Table 1'!I181*100</f>
        <v>0</v>
      </c>
      <c r="AJ188" s="44"/>
      <c r="AK188" s="44"/>
      <c r="AL188" s="44"/>
      <c r="AM188" s="44"/>
    </row>
    <row r="189" spans="2:39" ht="13.8" x14ac:dyDescent="0.25">
      <c r="B189" s="45"/>
      <c r="C189" s="29"/>
      <c r="D189" s="29"/>
      <c r="E189" s="29"/>
      <c r="F189" s="44"/>
      <c r="G189" s="44"/>
      <c r="H189" s="44"/>
      <c r="I189" s="44"/>
      <c r="J189" s="44"/>
      <c r="K189" s="29"/>
      <c r="L189" s="29"/>
      <c r="M189" s="44"/>
      <c r="N189" s="46">
        <f>'Table 1'!E182</f>
        <v>0</v>
      </c>
      <c r="O189" s="44"/>
      <c r="P189" s="44"/>
      <c r="Q189" s="44"/>
      <c r="R189" s="29"/>
      <c r="S189" s="44"/>
      <c r="T189" s="29"/>
      <c r="U189" s="29"/>
      <c r="V189" s="29"/>
      <c r="W189" s="29"/>
      <c r="X189" s="29"/>
      <c r="Y189" s="44"/>
      <c r="Z189" s="44"/>
      <c r="AA189" s="44"/>
      <c r="AB189" s="44"/>
      <c r="AC189" s="44"/>
      <c r="AD189" s="44"/>
      <c r="AE189" s="46">
        <f>'Table 1'!G182</f>
        <v>0</v>
      </c>
      <c r="AF189" s="44"/>
      <c r="AG189" s="44"/>
      <c r="AH189" s="44"/>
      <c r="AI189" s="47">
        <f>'Table 1'!I182*100</f>
        <v>0</v>
      </c>
      <c r="AJ189" s="44"/>
      <c r="AK189" s="44"/>
      <c r="AL189" s="44"/>
      <c r="AM189" s="44"/>
    </row>
    <row r="190" spans="2:39" ht="13.8" x14ac:dyDescent="0.25">
      <c r="B190" s="45"/>
      <c r="C190" s="29"/>
      <c r="D190" s="29"/>
      <c r="E190" s="29"/>
      <c r="F190" s="44"/>
      <c r="G190" s="44"/>
      <c r="H190" s="44"/>
      <c r="I190" s="44"/>
      <c r="J190" s="44"/>
      <c r="K190" s="29"/>
      <c r="L190" s="29"/>
      <c r="M190" s="44"/>
      <c r="N190" s="46">
        <f>'Table 1'!E183</f>
        <v>0</v>
      </c>
      <c r="O190" s="44"/>
      <c r="P190" s="44"/>
      <c r="Q190" s="44"/>
      <c r="R190" s="29"/>
      <c r="S190" s="44"/>
      <c r="T190" s="29"/>
      <c r="U190" s="29"/>
      <c r="V190" s="29"/>
      <c r="W190" s="29"/>
      <c r="X190" s="29"/>
      <c r="Y190" s="44"/>
      <c r="Z190" s="44"/>
      <c r="AA190" s="44"/>
      <c r="AB190" s="44"/>
      <c r="AC190" s="44"/>
      <c r="AD190" s="44"/>
      <c r="AE190" s="46">
        <f>'Table 1'!G183</f>
        <v>0</v>
      </c>
      <c r="AF190" s="44"/>
      <c r="AG190" s="44"/>
      <c r="AH190" s="44"/>
      <c r="AI190" s="47">
        <f>'Table 1'!I183*100</f>
        <v>0</v>
      </c>
      <c r="AJ190" s="44"/>
      <c r="AK190" s="44"/>
      <c r="AL190" s="44"/>
      <c r="AM190" s="44"/>
    </row>
    <row r="191" spans="2:39" ht="13.8" x14ac:dyDescent="0.25">
      <c r="B191" s="45"/>
      <c r="C191" s="29"/>
      <c r="D191" s="29"/>
      <c r="E191" s="29"/>
      <c r="F191" s="44"/>
      <c r="G191" s="44"/>
      <c r="H191" s="44"/>
      <c r="I191" s="44"/>
      <c r="J191" s="44"/>
      <c r="K191" s="29"/>
      <c r="L191" s="29"/>
      <c r="M191" s="44"/>
      <c r="N191" s="46">
        <f>'Table 1'!E184</f>
        <v>0</v>
      </c>
      <c r="O191" s="44"/>
      <c r="P191" s="44"/>
      <c r="Q191" s="44"/>
      <c r="R191" s="29"/>
      <c r="S191" s="44"/>
      <c r="T191" s="29"/>
      <c r="U191" s="29"/>
      <c r="V191" s="29"/>
      <c r="W191" s="29"/>
      <c r="X191" s="29"/>
      <c r="Y191" s="44"/>
      <c r="Z191" s="44"/>
      <c r="AA191" s="44"/>
      <c r="AB191" s="44"/>
      <c r="AC191" s="44"/>
      <c r="AD191" s="44"/>
      <c r="AE191" s="46">
        <f>'Table 1'!G184</f>
        <v>0</v>
      </c>
      <c r="AF191" s="44"/>
      <c r="AG191" s="44"/>
      <c r="AH191" s="44"/>
      <c r="AI191" s="47">
        <f>'Table 1'!I184*100</f>
        <v>0</v>
      </c>
      <c r="AJ191" s="44"/>
      <c r="AK191" s="44"/>
      <c r="AL191" s="44"/>
      <c r="AM191" s="44"/>
    </row>
    <row r="192" spans="2:39" ht="13.8" x14ac:dyDescent="0.25">
      <c r="B192" s="45"/>
      <c r="C192" s="29"/>
      <c r="D192" s="29"/>
      <c r="E192" s="29"/>
      <c r="F192" s="44"/>
      <c r="G192" s="44"/>
      <c r="H192" s="44"/>
      <c r="I192" s="44"/>
      <c r="J192" s="44"/>
      <c r="K192" s="29"/>
      <c r="L192" s="29"/>
      <c r="M192" s="44"/>
      <c r="N192" s="46">
        <f>'Table 1'!E185</f>
        <v>0</v>
      </c>
      <c r="O192" s="44"/>
      <c r="P192" s="44"/>
      <c r="Q192" s="44"/>
      <c r="R192" s="29"/>
      <c r="S192" s="44"/>
      <c r="T192" s="29"/>
      <c r="U192" s="29"/>
      <c r="V192" s="29"/>
      <c r="W192" s="29"/>
      <c r="X192" s="29"/>
      <c r="Y192" s="44"/>
      <c r="Z192" s="44"/>
      <c r="AA192" s="44"/>
      <c r="AB192" s="44"/>
      <c r="AC192" s="44"/>
      <c r="AD192" s="44"/>
      <c r="AE192" s="46">
        <f>'Table 1'!G185</f>
        <v>0</v>
      </c>
      <c r="AF192" s="44"/>
      <c r="AG192" s="44"/>
      <c r="AH192" s="44"/>
      <c r="AI192" s="47">
        <f>'Table 1'!I185*100</f>
        <v>0</v>
      </c>
      <c r="AJ192" s="44"/>
      <c r="AK192" s="44"/>
      <c r="AL192" s="44"/>
      <c r="AM192" s="44"/>
    </row>
    <row r="193" spans="2:39" ht="13.8" x14ac:dyDescent="0.25">
      <c r="B193" s="45"/>
      <c r="C193" s="29"/>
      <c r="D193" s="29"/>
      <c r="E193" s="29"/>
      <c r="F193" s="44"/>
      <c r="G193" s="44"/>
      <c r="H193" s="44"/>
      <c r="I193" s="44"/>
      <c r="J193" s="44"/>
      <c r="K193" s="29"/>
      <c r="L193" s="29"/>
      <c r="M193" s="44"/>
      <c r="N193" s="46">
        <f>'Table 1'!E186</f>
        <v>0</v>
      </c>
      <c r="O193" s="44"/>
      <c r="P193" s="44"/>
      <c r="Q193" s="44"/>
      <c r="R193" s="29"/>
      <c r="S193" s="44"/>
      <c r="T193" s="29"/>
      <c r="U193" s="29"/>
      <c r="V193" s="29"/>
      <c r="W193" s="29"/>
      <c r="X193" s="29"/>
      <c r="Y193" s="44"/>
      <c r="Z193" s="44"/>
      <c r="AA193" s="44"/>
      <c r="AB193" s="44"/>
      <c r="AC193" s="44"/>
      <c r="AD193" s="44"/>
      <c r="AE193" s="46">
        <f>'Table 1'!G186</f>
        <v>0</v>
      </c>
      <c r="AF193" s="44"/>
      <c r="AG193" s="44"/>
      <c r="AH193" s="44"/>
      <c r="AI193" s="47">
        <f>'Table 1'!I186*100</f>
        <v>0</v>
      </c>
      <c r="AJ193" s="44"/>
      <c r="AK193" s="44"/>
      <c r="AL193" s="44"/>
      <c r="AM193" s="44"/>
    </row>
    <row r="194" spans="2:39" ht="13.8" x14ac:dyDescent="0.25">
      <c r="B194" s="45"/>
      <c r="C194" s="29"/>
      <c r="D194" s="29"/>
      <c r="E194" s="29"/>
      <c r="F194" s="44"/>
      <c r="G194" s="44"/>
      <c r="H194" s="44"/>
      <c r="I194" s="44"/>
      <c r="J194" s="44"/>
      <c r="K194" s="29"/>
      <c r="L194" s="29"/>
      <c r="M194" s="44"/>
      <c r="N194" s="46">
        <f>'Table 1'!E187</f>
        <v>0</v>
      </c>
      <c r="O194" s="44"/>
      <c r="P194" s="44"/>
      <c r="Q194" s="44"/>
      <c r="R194" s="29"/>
      <c r="S194" s="44"/>
      <c r="T194" s="29"/>
      <c r="U194" s="29"/>
      <c r="V194" s="29"/>
      <c r="W194" s="29"/>
      <c r="X194" s="29"/>
      <c r="Y194" s="44"/>
      <c r="Z194" s="44"/>
      <c r="AA194" s="44"/>
      <c r="AB194" s="44"/>
      <c r="AC194" s="44"/>
      <c r="AD194" s="44"/>
      <c r="AE194" s="46">
        <f>'Table 1'!G187</f>
        <v>0</v>
      </c>
      <c r="AF194" s="44"/>
      <c r="AG194" s="44"/>
      <c r="AH194" s="44"/>
      <c r="AI194" s="47">
        <f>'Table 1'!I187*100</f>
        <v>0</v>
      </c>
      <c r="AJ194" s="44"/>
      <c r="AK194" s="44"/>
      <c r="AL194" s="44"/>
      <c r="AM194" s="44"/>
    </row>
    <row r="195" spans="2:39" ht="13.8" x14ac:dyDescent="0.25">
      <c r="B195" s="45"/>
      <c r="C195" s="29"/>
      <c r="D195" s="29"/>
      <c r="E195" s="29"/>
      <c r="F195" s="44"/>
      <c r="G195" s="44"/>
      <c r="H195" s="44"/>
      <c r="I195" s="44"/>
      <c r="J195" s="44"/>
      <c r="K195" s="29"/>
      <c r="L195" s="29"/>
      <c r="M195" s="44"/>
      <c r="N195" s="46">
        <f>'Table 1'!E188</f>
        <v>0</v>
      </c>
      <c r="O195" s="44"/>
      <c r="P195" s="44"/>
      <c r="Q195" s="44"/>
      <c r="R195" s="29"/>
      <c r="S195" s="44"/>
      <c r="T195" s="29"/>
      <c r="U195" s="29"/>
      <c r="V195" s="29"/>
      <c r="W195" s="29"/>
      <c r="X195" s="29"/>
      <c r="Y195" s="44"/>
      <c r="Z195" s="44"/>
      <c r="AA195" s="44"/>
      <c r="AB195" s="44"/>
      <c r="AC195" s="44"/>
      <c r="AD195" s="44"/>
      <c r="AE195" s="46">
        <f>'Table 1'!G188</f>
        <v>0</v>
      </c>
      <c r="AF195" s="44"/>
      <c r="AG195" s="44"/>
      <c r="AH195" s="44"/>
      <c r="AI195" s="47">
        <f>'Table 1'!I188*100</f>
        <v>0</v>
      </c>
      <c r="AJ195" s="44"/>
      <c r="AK195" s="44"/>
      <c r="AL195" s="44"/>
      <c r="AM195" s="44"/>
    </row>
    <row r="196" spans="2:39" ht="13.8" x14ac:dyDescent="0.25">
      <c r="B196" s="45"/>
      <c r="C196" s="29"/>
      <c r="D196" s="29"/>
      <c r="E196" s="29"/>
      <c r="F196" s="44"/>
      <c r="G196" s="44"/>
      <c r="H196" s="44"/>
      <c r="I196" s="44"/>
      <c r="J196" s="44"/>
      <c r="K196" s="29"/>
      <c r="L196" s="29"/>
      <c r="M196" s="44"/>
      <c r="N196" s="46">
        <f>'Table 1'!E189</f>
        <v>0</v>
      </c>
      <c r="O196" s="44"/>
      <c r="P196" s="44"/>
      <c r="Q196" s="44"/>
      <c r="R196" s="29"/>
      <c r="S196" s="44"/>
      <c r="T196" s="29"/>
      <c r="U196" s="29"/>
      <c r="V196" s="29"/>
      <c r="W196" s="29"/>
      <c r="X196" s="29"/>
      <c r="Y196" s="44"/>
      <c r="Z196" s="44"/>
      <c r="AA196" s="44"/>
      <c r="AB196" s="44"/>
      <c r="AC196" s="44"/>
      <c r="AD196" s="44"/>
      <c r="AE196" s="46">
        <f>'Table 1'!G189</f>
        <v>0</v>
      </c>
      <c r="AF196" s="44"/>
      <c r="AG196" s="44"/>
      <c r="AH196" s="44"/>
      <c r="AI196" s="47">
        <f>'Table 1'!I189*100</f>
        <v>0</v>
      </c>
      <c r="AJ196" s="44"/>
      <c r="AK196" s="44"/>
      <c r="AL196" s="44"/>
      <c r="AM196" s="44"/>
    </row>
    <row r="197" spans="2:39" ht="13.8" x14ac:dyDescent="0.25">
      <c r="B197" s="45"/>
      <c r="C197" s="29"/>
      <c r="D197" s="29"/>
      <c r="E197" s="29"/>
      <c r="F197" s="44"/>
      <c r="G197" s="44"/>
      <c r="H197" s="44"/>
      <c r="I197" s="44"/>
      <c r="J197" s="44"/>
      <c r="K197" s="29"/>
      <c r="L197" s="29"/>
      <c r="M197" s="44"/>
      <c r="N197" s="46">
        <f>'Table 1'!E190</f>
        <v>0</v>
      </c>
      <c r="O197" s="44"/>
      <c r="P197" s="44"/>
      <c r="Q197" s="44"/>
      <c r="R197" s="29"/>
      <c r="S197" s="44"/>
      <c r="T197" s="29"/>
      <c r="U197" s="29"/>
      <c r="V197" s="29"/>
      <c r="W197" s="29"/>
      <c r="X197" s="29"/>
      <c r="Y197" s="44"/>
      <c r="Z197" s="44"/>
      <c r="AA197" s="44"/>
      <c r="AB197" s="44"/>
      <c r="AC197" s="44"/>
      <c r="AD197" s="44"/>
      <c r="AE197" s="46">
        <f>'Table 1'!G190</f>
        <v>0</v>
      </c>
      <c r="AF197" s="44"/>
      <c r="AG197" s="44"/>
      <c r="AH197" s="44"/>
      <c r="AI197" s="47">
        <f>'Table 1'!I190*100</f>
        <v>0</v>
      </c>
      <c r="AJ197" s="44"/>
      <c r="AK197" s="44"/>
      <c r="AL197" s="44"/>
      <c r="AM197" s="44"/>
    </row>
    <row r="198" spans="2:39" ht="13.8" x14ac:dyDescent="0.25">
      <c r="B198" s="45"/>
      <c r="C198" s="29"/>
      <c r="D198" s="29"/>
      <c r="E198" s="29"/>
      <c r="F198" s="44"/>
      <c r="G198" s="44"/>
      <c r="H198" s="44"/>
      <c r="I198" s="44"/>
      <c r="J198" s="44"/>
      <c r="K198" s="29"/>
      <c r="L198" s="29"/>
      <c r="M198" s="44"/>
      <c r="N198" s="46">
        <f>'Table 1'!E191</f>
        <v>0</v>
      </c>
      <c r="O198" s="44"/>
      <c r="P198" s="44"/>
      <c r="Q198" s="44"/>
      <c r="R198" s="29"/>
      <c r="S198" s="44"/>
      <c r="T198" s="29"/>
      <c r="U198" s="29"/>
      <c r="V198" s="29"/>
      <c r="W198" s="29"/>
      <c r="X198" s="29"/>
      <c r="Y198" s="44"/>
      <c r="Z198" s="44"/>
      <c r="AA198" s="44"/>
      <c r="AB198" s="44"/>
      <c r="AC198" s="44"/>
      <c r="AD198" s="44"/>
      <c r="AE198" s="46">
        <f>'Table 1'!G191</f>
        <v>0</v>
      </c>
      <c r="AF198" s="44"/>
      <c r="AG198" s="44"/>
      <c r="AH198" s="44"/>
      <c r="AI198" s="47">
        <f>'Table 1'!I191*100</f>
        <v>0</v>
      </c>
      <c r="AJ198" s="44"/>
      <c r="AK198" s="44"/>
      <c r="AL198" s="44"/>
      <c r="AM198" s="44"/>
    </row>
    <row r="199" spans="2:39" ht="13.8" x14ac:dyDescent="0.25">
      <c r="B199" s="45"/>
      <c r="C199" s="29"/>
      <c r="D199" s="29"/>
      <c r="E199" s="29"/>
      <c r="F199" s="44"/>
      <c r="G199" s="44"/>
      <c r="H199" s="44"/>
      <c r="I199" s="44"/>
      <c r="J199" s="44"/>
      <c r="K199" s="29"/>
      <c r="L199" s="29"/>
      <c r="M199" s="44"/>
      <c r="N199" s="46">
        <f>'Table 1'!E192</f>
        <v>0</v>
      </c>
      <c r="O199" s="44"/>
      <c r="P199" s="44"/>
      <c r="Q199" s="44"/>
      <c r="R199" s="29"/>
      <c r="S199" s="44"/>
      <c r="T199" s="29"/>
      <c r="U199" s="29"/>
      <c r="V199" s="29"/>
      <c r="W199" s="29"/>
      <c r="X199" s="29"/>
      <c r="Y199" s="44"/>
      <c r="Z199" s="44"/>
      <c r="AA199" s="44"/>
      <c r="AB199" s="44"/>
      <c r="AC199" s="44"/>
      <c r="AD199" s="44"/>
      <c r="AE199" s="46">
        <f>'Table 1'!G192</f>
        <v>0</v>
      </c>
      <c r="AF199" s="44"/>
      <c r="AG199" s="44"/>
      <c r="AH199" s="44"/>
      <c r="AI199" s="47">
        <f>'Table 1'!I192*100</f>
        <v>0</v>
      </c>
      <c r="AJ199" s="44"/>
      <c r="AK199" s="44"/>
      <c r="AL199" s="44"/>
      <c r="AM199" s="44"/>
    </row>
    <row r="200" spans="2:39" ht="13.8" x14ac:dyDescent="0.25">
      <c r="B200" s="45"/>
      <c r="C200" s="29"/>
      <c r="D200" s="29"/>
      <c r="E200" s="29"/>
      <c r="F200" s="44"/>
      <c r="G200" s="44"/>
      <c r="H200" s="44"/>
      <c r="I200" s="44"/>
      <c r="J200" s="44"/>
      <c r="K200" s="29"/>
      <c r="L200" s="29"/>
      <c r="M200" s="44"/>
      <c r="N200" s="46">
        <f>'Table 1'!E193</f>
        <v>0</v>
      </c>
      <c r="O200" s="44"/>
      <c r="P200" s="44"/>
      <c r="Q200" s="44"/>
      <c r="R200" s="29"/>
      <c r="S200" s="44"/>
      <c r="T200" s="29"/>
      <c r="U200" s="29"/>
      <c r="V200" s="29"/>
      <c r="W200" s="29"/>
      <c r="X200" s="29"/>
      <c r="Y200" s="44"/>
      <c r="Z200" s="44"/>
      <c r="AA200" s="44"/>
      <c r="AB200" s="44"/>
      <c r="AC200" s="44"/>
      <c r="AD200" s="44"/>
      <c r="AE200" s="46">
        <f>'Table 1'!G193</f>
        <v>0</v>
      </c>
      <c r="AF200" s="44"/>
      <c r="AG200" s="44"/>
      <c r="AH200" s="44"/>
      <c r="AI200" s="47">
        <f>'Table 1'!I193*100</f>
        <v>0</v>
      </c>
      <c r="AJ200" s="44"/>
      <c r="AK200" s="44"/>
      <c r="AL200" s="44"/>
      <c r="AM200" s="44"/>
    </row>
    <row r="201" spans="2:39" ht="13.8" x14ac:dyDescent="0.25">
      <c r="B201" s="45"/>
      <c r="C201" s="29"/>
      <c r="D201" s="29"/>
      <c r="E201" s="29"/>
      <c r="F201" s="44"/>
      <c r="G201" s="44"/>
      <c r="H201" s="44"/>
      <c r="I201" s="44"/>
      <c r="J201" s="44"/>
      <c r="K201" s="29"/>
      <c r="L201" s="29"/>
      <c r="M201" s="44"/>
      <c r="N201" s="46">
        <f>'Table 1'!E194</f>
        <v>0</v>
      </c>
      <c r="O201" s="44"/>
      <c r="P201" s="44"/>
      <c r="Q201" s="44"/>
      <c r="R201" s="29"/>
      <c r="S201" s="44"/>
      <c r="T201" s="29"/>
      <c r="U201" s="29"/>
      <c r="V201" s="29"/>
      <c r="W201" s="29"/>
      <c r="X201" s="29"/>
      <c r="Y201" s="44"/>
      <c r="Z201" s="44"/>
      <c r="AA201" s="44"/>
      <c r="AB201" s="44"/>
      <c r="AC201" s="44"/>
      <c r="AD201" s="44"/>
      <c r="AE201" s="46">
        <f>'Table 1'!G194</f>
        <v>0</v>
      </c>
      <c r="AF201" s="44"/>
      <c r="AG201" s="44"/>
      <c r="AH201" s="44"/>
      <c r="AI201" s="47">
        <f>'Table 1'!I194*100</f>
        <v>0</v>
      </c>
      <c r="AJ201" s="44"/>
      <c r="AK201" s="44"/>
      <c r="AL201" s="44"/>
      <c r="AM201" s="44"/>
    </row>
    <row r="202" spans="2:39" ht="13.8" x14ac:dyDescent="0.25">
      <c r="B202" s="45"/>
      <c r="C202" s="29"/>
      <c r="D202" s="29"/>
      <c r="E202" s="29"/>
      <c r="F202" s="44"/>
      <c r="G202" s="44"/>
      <c r="H202" s="44"/>
      <c r="I202" s="44"/>
      <c r="J202" s="44"/>
      <c r="K202" s="29"/>
      <c r="L202" s="29"/>
      <c r="M202" s="44"/>
      <c r="N202" s="46">
        <f>'Table 1'!E195</f>
        <v>0</v>
      </c>
      <c r="O202" s="44"/>
      <c r="P202" s="44"/>
      <c r="Q202" s="44"/>
      <c r="R202" s="29"/>
      <c r="S202" s="44"/>
      <c r="T202" s="29"/>
      <c r="U202" s="29"/>
      <c r="V202" s="29"/>
      <c r="W202" s="29"/>
      <c r="X202" s="29"/>
      <c r="Y202" s="44"/>
      <c r="Z202" s="44"/>
      <c r="AA202" s="44"/>
      <c r="AB202" s="44"/>
      <c r="AC202" s="44"/>
      <c r="AD202" s="44"/>
      <c r="AE202" s="46">
        <f>'Table 1'!G195</f>
        <v>0</v>
      </c>
      <c r="AF202" s="44"/>
      <c r="AG202" s="44"/>
      <c r="AH202" s="44"/>
      <c r="AI202" s="47">
        <f>'Table 1'!I195*100</f>
        <v>0</v>
      </c>
      <c r="AJ202" s="44"/>
      <c r="AK202" s="44"/>
      <c r="AL202" s="44"/>
      <c r="AM202" s="44"/>
    </row>
    <row r="203" spans="2:39" ht="13.8" x14ac:dyDescent="0.25">
      <c r="B203" s="45"/>
      <c r="C203" s="29"/>
      <c r="D203" s="29"/>
      <c r="E203" s="29"/>
      <c r="F203" s="44"/>
      <c r="G203" s="44"/>
      <c r="H203" s="44"/>
      <c r="I203" s="44"/>
      <c r="J203" s="44"/>
      <c r="K203" s="29"/>
      <c r="L203" s="29"/>
      <c r="M203" s="44"/>
      <c r="N203" s="46">
        <f>'Table 1'!E196</f>
        <v>0</v>
      </c>
      <c r="O203" s="44"/>
      <c r="P203" s="44"/>
      <c r="Q203" s="44"/>
      <c r="R203" s="29"/>
      <c r="S203" s="44"/>
      <c r="T203" s="29"/>
      <c r="U203" s="29"/>
      <c r="V203" s="29"/>
      <c r="W203" s="29"/>
      <c r="X203" s="29"/>
      <c r="Y203" s="44"/>
      <c r="Z203" s="44"/>
      <c r="AA203" s="44"/>
      <c r="AB203" s="44"/>
      <c r="AC203" s="44"/>
      <c r="AD203" s="44"/>
      <c r="AE203" s="46">
        <f>'Table 1'!G196</f>
        <v>0</v>
      </c>
      <c r="AF203" s="44"/>
      <c r="AG203" s="44"/>
      <c r="AH203" s="44"/>
      <c r="AI203" s="47">
        <f>'Table 1'!I196*100</f>
        <v>0</v>
      </c>
      <c r="AJ203" s="44"/>
      <c r="AK203" s="44"/>
      <c r="AL203" s="44"/>
      <c r="AM203" s="44"/>
    </row>
    <row r="204" spans="2:39" ht="13.8" x14ac:dyDescent="0.25">
      <c r="B204" s="45"/>
      <c r="C204" s="29"/>
      <c r="D204" s="29"/>
      <c r="E204" s="29"/>
      <c r="F204" s="44"/>
      <c r="G204" s="44"/>
      <c r="H204" s="44"/>
      <c r="I204" s="44"/>
      <c r="J204" s="44"/>
      <c r="K204" s="29"/>
      <c r="L204" s="29"/>
      <c r="M204" s="44"/>
      <c r="N204" s="46">
        <f>'Table 1'!E197</f>
        <v>0</v>
      </c>
      <c r="O204" s="44"/>
      <c r="P204" s="44"/>
      <c r="Q204" s="44"/>
      <c r="R204" s="29"/>
      <c r="S204" s="44"/>
      <c r="T204" s="29"/>
      <c r="U204" s="29"/>
      <c r="V204" s="29"/>
      <c r="W204" s="29"/>
      <c r="X204" s="29"/>
      <c r="Y204" s="44"/>
      <c r="Z204" s="44"/>
      <c r="AA204" s="44"/>
      <c r="AB204" s="44"/>
      <c r="AC204" s="44"/>
      <c r="AD204" s="44"/>
      <c r="AE204" s="46">
        <f>'Table 1'!G197</f>
        <v>0</v>
      </c>
      <c r="AF204" s="44"/>
      <c r="AG204" s="44"/>
      <c r="AH204" s="44"/>
      <c r="AI204" s="47">
        <f>'Table 1'!I197*100</f>
        <v>0</v>
      </c>
      <c r="AJ204" s="44"/>
      <c r="AK204" s="44"/>
      <c r="AL204" s="44"/>
      <c r="AM204" s="44"/>
    </row>
    <row r="205" spans="2:39" ht="13.8" x14ac:dyDescent="0.25">
      <c r="B205" s="45"/>
      <c r="C205" s="29"/>
      <c r="D205" s="29"/>
      <c r="E205" s="29"/>
      <c r="F205" s="44"/>
      <c r="G205" s="44"/>
      <c r="H205" s="44"/>
      <c r="I205" s="44"/>
      <c r="J205" s="44"/>
      <c r="K205" s="29"/>
      <c r="L205" s="29"/>
      <c r="M205" s="44"/>
      <c r="N205" s="46">
        <f>'Table 1'!E198</f>
        <v>0</v>
      </c>
      <c r="O205" s="44"/>
      <c r="P205" s="44"/>
      <c r="Q205" s="44"/>
      <c r="R205" s="29"/>
      <c r="S205" s="44"/>
      <c r="T205" s="29"/>
      <c r="U205" s="29"/>
      <c r="V205" s="29"/>
      <c r="W205" s="29"/>
      <c r="X205" s="29"/>
      <c r="Y205" s="44"/>
      <c r="Z205" s="44"/>
      <c r="AA205" s="44"/>
      <c r="AB205" s="44"/>
      <c r="AC205" s="44"/>
      <c r="AD205" s="44"/>
      <c r="AE205" s="46">
        <f>'Table 1'!G198</f>
        <v>0</v>
      </c>
      <c r="AF205" s="44"/>
      <c r="AG205" s="44"/>
      <c r="AH205" s="44"/>
      <c r="AI205" s="47">
        <f>'Table 1'!I198*100</f>
        <v>0</v>
      </c>
      <c r="AJ205" s="44"/>
      <c r="AK205" s="44"/>
      <c r="AL205" s="44"/>
      <c r="AM205" s="44"/>
    </row>
    <row r="206" spans="2:39" ht="13.8" x14ac:dyDescent="0.25">
      <c r="B206" s="45"/>
      <c r="C206" s="29"/>
      <c r="D206" s="29"/>
      <c r="E206" s="29"/>
      <c r="F206" s="44"/>
      <c r="G206" s="44"/>
      <c r="H206" s="44"/>
      <c r="I206" s="44"/>
      <c r="J206" s="44"/>
      <c r="K206" s="29"/>
      <c r="L206" s="29"/>
      <c r="M206" s="44"/>
      <c r="N206" s="46">
        <f>'Table 1'!E199</f>
        <v>0</v>
      </c>
      <c r="O206" s="44"/>
      <c r="P206" s="44"/>
      <c r="Q206" s="44"/>
      <c r="R206" s="29"/>
      <c r="S206" s="44"/>
      <c r="T206" s="29"/>
      <c r="U206" s="29"/>
      <c r="V206" s="29"/>
      <c r="W206" s="29"/>
      <c r="X206" s="29"/>
      <c r="Y206" s="44"/>
      <c r="Z206" s="44"/>
      <c r="AA206" s="44"/>
      <c r="AB206" s="44"/>
      <c r="AC206" s="44"/>
      <c r="AD206" s="44"/>
      <c r="AE206" s="46">
        <f>'Table 1'!G199</f>
        <v>0</v>
      </c>
      <c r="AF206" s="44"/>
      <c r="AG206" s="44"/>
      <c r="AH206" s="44"/>
      <c r="AI206" s="47">
        <f>'Table 1'!I199*100</f>
        <v>0</v>
      </c>
      <c r="AJ206" s="44"/>
      <c r="AK206" s="44"/>
      <c r="AL206" s="44"/>
      <c r="AM206" s="44"/>
    </row>
    <row r="207" spans="2:39" ht="13.8" x14ac:dyDescent="0.25">
      <c r="B207" s="45"/>
      <c r="C207" s="29"/>
      <c r="D207" s="29"/>
      <c r="E207" s="29"/>
      <c r="F207" s="44"/>
      <c r="G207" s="44"/>
      <c r="H207" s="44"/>
      <c r="I207" s="44"/>
      <c r="J207" s="44"/>
      <c r="K207" s="29"/>
      <c r="L207" s="29"/>
      <c r="M207" s="44"/>
      <c r="N207" s="46">
        <f>'Table 1'!E200</f>
        <v>0</v>
      </c>
      <c r="O207" s="44"/>
      <c r="P207" s="44"/>
      <c r="Q207" s="44"/>
      <c r="R207" s="29"/>
      <c r="S207" s="44"/>
      <c r="T207" s="29"/>
      <c r="U207" s="29"/>
      <c r="V207" s="29"/>
      <c r="W207" s="29"/>
      <c r="X207" s="29"/>
      <c r="Y207" s="44"/>
      <c r="Z207" s="44"/>
      <c r="AA207" s="44"/>
      <c r="AB207" s="44"/>
      <c r="AC207" s="44"/>
      <c r="AD207" s="44"/>
      <c r="AE207" s="46">
        <f>'Table 1'!G200</f>
        <v>0</v>
      </c>
      <c r="AF207" s="44"/>
      <c r="AG207" s="44"/>
      <c r="AH207" s="44"/>
      <c r="AI207" s="47">
        <f>'Table 1'!I200*100</f>
        <v>0</v>
      </c>
      <c r="AJ207" s="44"/>
      <c r="AK207" s="44"/>
      <c r="AL207" s="44"/>
      <c r="AM207" s="44"/>
    </row>
    <row r="208" spans="2:39" ht="13.8" x14ac:dyDescent="0.25">
      <c r="B208" s="45"/>
      <c r="C208" s="29"/>
      <c r="D208" s="29"/>
      <c r="E208" s="29"/>
      <c r="F208" s="44"/>
      <c r="G208" s="44"/>
      <c r="H208" s="44"/>
      <c r="I208" s="44"/>
      <c r="J208" s="44"/>
      <c r="K208" s="29"/>
      <c r="L208" s="29"/>
      <c r="M208" s="44"/>
      <c r="N208" s="46">
        <f>'Table 1'!E201</f>
        <v>0</v>
      </c>
      <c r="O208" s="44"/>
      <c r="P208" s="44"/>
      <c r="Q208" s="44"/>
      <c r="R208" s="29"/>
      <c r="S208" s="44"/>
      <c r="T208" s="29"/>
      <c r="U208" s="29"/>
      <c r="V208" s="29"/>
      <c r="W208" s="29"/>
      <c r="X208" s="29"/>
      <c r="Y208" s="44"/>
      <c r="Z208" s="44"/>
      <c r="AA208" s="44"/>
      <c r="AB208" s="44"/>
      <c r="AC208" s="44"/>
      <c r="AD208" s="44"/>
      <c r="AE208" s="46">
        <f>'Table 1'!G201</f>
        <v>0</v>
      </c>
      <c r="AF208" s="44"/>
      <c r="AG208" s="44"/>
      <c r="AH208" s="44"/>
      <c r="AI208" s="47">
        <f>'Table 1'!I201*100</f>
        <v>0</v>
      </c>
      <c r="AJ208" s="44"/>
      <c r="AK208" s="44"/>
      <c r="AL208" s="44"/>
      <c r="AM208" s="44"/>
    </row>
    <row r="209" spans="2:39" ht="13.8" x14ac:dyDescent="0.25">
      <c r="B209" s="45"/>
      <c r="C209" s="29"/>
      <c r="D209" s="29"/>
      <c r="E209" s="29"/>
      <c r="F209" s="44"/>
      <c r="G209" s="44"/>
      <c r="H209" s="44"/>
      <c r="I209" s="44"/>
      <c r="J209" s="44"/>
      <c r="K209" s="29"/>
      <c r="L209" s="29"/>
      <c r="M209" s="44"/>
      <c r="N209" s="46">
        <f>'Table 1'!E202</f>
        <v>0</v>
      </c>
      <c r="O209" s="44"/>
      <c r="P209" s="44"/>
      <c r="Q209" s="44"/>
      <c r="R209" s="29"/>
      <c r="S209" s="44"/>
      <c r="T209" s="29"/>
      <c r="U209" s="29"/>
      <c r="V209" s="29"/>
      <c r="W209" s="29"/>
      <c r="X209" s="29"/>
      <c r="Y209" s="44"/>
      <c r="Z209" s="44"/>
      <c r="AA209" s="44"/>
      <c r="AB209" s="44"/>
      <c r="AC209" s="44"/>
      <c r="AD209" s="44"/>
      <c r="AE209" s="46">
        <f>'Table 1'!G202</f>
        <v>0</v>
      </c>
      <c r="AF209" s="44"/>
      <c r="AG209" s="44"/>
      <c r="AH209" s="44"/>
      <c r="AI209" s="47">
        <f>'Table 1'!I202*100</f>
        <v>0</v>
      </c>
      <c r="AJ209" s="44"/>
      <c r="AK209" s="44"/>
      <c r="AL209" s="44"/>
      <c r="AM209" s="44"/>
    </row>
    <row r="210" spans="2:39" ht="13.8" x14ac:dyDescent="0.25">
      <c r="B210" s="45"/>
      <c r="C210" s="29"/>
      <c r="D210" s="29"/>
      <c r="E210" s="29"/>
      <c r="F210" s="44"/>
      <c r="G210" s="44"/>
      <c r="H210" s="44"/>
      <c r="I210" s="44"/>
      <c r="J210" s="44"/>
      <c r="K210" s="29"/>
      <c r="L210" s="29"/>
      <c r="M210" s="44"/>
      <c r="N210" s="46">
        <f>'Table 1'!E203</f>
        <v>0</v>
      </c>
      <c r="O210" s="44"/>
      <c r="P210" s="44"/>
      <c r="Q210" s="44"/>
      <c r="R210" s="29"/>
      <c r="S210" s="44"/>
      <c r="T210" s="29"/>
      <c r="U210" s="29"/>
      <c r="V210" s="29"/>
      <c r="W210" s="29"/>
      <c r="X210" s="29"/>
      <c r="Y210" s="44"/>
      <c r="Z210" s="44"/>
      <c r="AA210" s="44"/>
      <c r="AB210" s="44"/>
      <c r="AC210" s="44"/>
      <c r="AD210" s="44"/>
      <c r="AE210" s="46">
        <f>'Table 1'!G203</f>
        <v>0</v>
      </c>
      <c r="AF210" s="44"/>
      <c r="AG210" s="44"/>
      <c r="AH210" s="44"/>
      <c r="AI210" s="47">
        <f>'Table 1'!I203*100</f>
        <v>0</v>
      </c>
      <c r="AJ210" s="44"/>
      <c r="AK210" s="44"/>
      <c r="AL210" s="44"/>
      <c r="AM210" s="44"/>
    </row>
    <row r="211" spans="2:39" ht="13.8" x14ac:dyDescent="0.25">
      <c r="B211" s="45"/>
      <c r="C211" s="29"/>
      <c r="D211" s="29"/>
      <c r="E211" s="29"/>
      <c r="F211" s="44"/>
      <c r="G211" s="44"/>
      <c r="H211" s="44"/>
      <c r="I211" s="44"/>
      <c r="J211" s="44"/>
      <c r="K211" s="29"/>
      <c r="L211" s="29"/>
      <c r="M211" s="44"/>
      <c r="N211" s="46">
        <f>'Table 1'!E204</f>
        <v>0</v>
      </c>
      <c r="O211" s="44"/>
      <c r="P211" s="44"/>
      <c r="Q211" s="44"/>
      <c r="R211" s="29"/>
      <c r="S211" s="44"/>
      <c r="T211" s="29"/>
      <c r="U211" s="29"/>
      <c r="V211" s="29"/>
      <c r="W211" s="29"/>
      <c r="X211" s="29"/>
      <c r="Y211" s="44"/>
      <c r="Z211" s="44"/>
      <c r="AA211" s="44"/>
      <c r="AB211" s="44"/>
      <c r="AC211" s="44"/>
      <c r="AD211" s="44"/>
      <c r="AE211" s="46">
        <f>'Table 1'!G204</f>
        <v>0</v>
      </c>
      <c r="AF211" s="44"/>
      <c r="AG211" s="44"/>
      <c r="AH211" s="44"/>
      <c r="AI211" s="47">
        <f>'Table 1'!I204*100</f>
        <v>0</v>
      </c>
      <c r="AJ211" s="44"/>
      <c r="AK211" s="44"/>
      <c r="AL211" s="44"/>
      <c r="AM211" s="44"/>
    </row>
    <row r="212" spans="2:39" ht="13.8" x14ac:dyDescent="0.25">
      <c r="B212" s="45"/>
      <c r="C212" s="29"/>
      <c r="D212" s="29"/>
      <c r="E212" s="29"/>
      <c r="F212" s="44"/>
      <c r="G212" s="44"/>
      <c r="H212" s="44"/>
      <c r="I212" s="44"/>
      <c r="J212" s="44"/>
      <c r="K212" s="29"/>
      <c r="L212" s="29"/>
      <c r="M212" s="44"/>
      <c r="N212" s="46">
        <f>'Table 1'!E205</f>
        <v>0</v>
      </c>
      <c r="O212" s="44"/>
      <c r="P212" s="44"/>
      <c r="Q212" s="44"/>
      <c r="R212" s="29"/>
      <c r="S212" s="44"/>
      <c r="T212" s="29"/>
      <c r="U212" s="29"/>
      <c r="V212" s="29"/>
      <c r="W212" s="29"/>
      <c r="X212" s="29"/>
      <c r="Y212" s="44"/>
      <c r="Z212" s="44"/>
      <c r="AA212" s="44"/>
      <c r="AB212" s="44"/>
      <c r="AC212" s="44"/>
      <c r="AD212" s="44"/>
      <c r="AE212" s="46">
        <f>'Table 1'!G205</f>
        <v>0</v>
      </c>
      <c r="AF212" s="44"/>
      <c r="AG212" s="44"/>
      <c r="AH212" s="44"/>
      <c r="AI212" s="47">
        <f>'Table 1'!I205*100</f>
        <v>0</v>
      </c>
      <c r="AJ212" s="44"/>
      <c r="AK212" s="44"/>
      <c r="AL212" s="44"/>
      <c r="AM212" s="44"/>
    </row>
    <row r="213" spans="2:39" ht="13.8" x14ac:dyDescent="0.25">
      <c r="B213" s="45"/>
      <c r="C213" s="29"/>
      <c r="D213" s="29"/>
      <c r="E213" s="29"/>
      <c r="F213" s="44"/>
      <c r="G213" s="44"/>
      <c r="H213" s="44"/>
      <c r="I213" s="44"/>
      <c r="J213" s="44"/>
      <c r="K213" s="29"/>
      <c r="L213" s="29"/>
      <c r="M213" s="44"/>
      <c r="N213" s="46">
        <f>'Table 1'!E206</f>
        <v>0</v>
      </c>
      <c r="O213" s="44"/>
      <c r="P213" s="44"/>
      <c r="Q213" s="44"/>
      <c r="R213" s="29"/>
      <c r="S213" s="44"/>
      <c r="T213" s="29"/>
      <c r="U213" s="29"/>
      <c r="V213" s="29"/>
      <c r="W213" s="29"/>
      <c r="X213" s="29"/>
      <c r="Y213" s="44"/>
      <c r="Z213" s="44"/>
      <c r="AA213" s="44"/>
      <c r="AB213" s="44"/>
      <c r="AC213" s="44"/>
      <c r="AD213" s="44"/>
      <c r="AE213" s="46">
        <f>'Table 1'!G206</f>
        <v>0</v>
      </c>
      <c r="AF213" s="44"/>
      <c r="AG213" s="44"/>
      <c r="AH213" s="44"/>
      <c r="AI213" s="47">
        <f>'Table 1'!I206*100</f>
        <v>0</v>
      </c>
      <c r="AJ213" s="44"/>
      <c r="AK213" s="44"/>
      <c r="AL213" s="44"/>
      <c r="AM213" s="44"/>
    </row>
    <row r="214" spans="2:39" ht="13.8" x14ac:dyDescent="0.25">
      <c r="B214" s="45"/>
      <c r="C214" s="29"/>
      <c r="D214" s="29"/>
      <c r="E214" s="29"/>
      <c r="F214" s="44"/>
      <c r="G214" s="44"/>
      <c r="H214" s="44"/>
      <c r="I214" s="44"/>
      <c r="J214" s="44"/>
      <c r="K214" s="29"/>
      <c r="L214" s="29"/>
      <c r="M214" s="44"/>
      <c r="N214" s="46">
        <f>'Table 1'!E207</f>
        <v>0</v>
      </c>
      <c r="O214" s="44"/>
      <c r="P214" s="44"/>
      <c r="Q214" s="44"/>
      <c r="R214" s="29"/>
      <c r="S214" s="44"/>
      <c r="T214" s="29"/>
      <c r="U214" s="29"/>
      <c r="V214" s="29"/>
      <c r="W214" s="29"/>
      <c r="X214" s="29"/>
      <c r="Y214" s="44"/>
      <c r="Z214" s="44"/>
      <c r="AA214" s="44"/>
      <c r="AB214" s="44"/>
      <c r="AC214" s="44"/>
      <c r="AD214" s="44"/>
      <c r="AE214" s="46">
        <f>'Table 1'!G207</f>
        <v>0</v>
      </c>
      <c r="AF214" s="44"/>
      <c r="AG214" s="44"/>
      <c r="AH214" s="44"/>
      <c r="AI214" s="47">
        <f>'Table 1'!I207*100</f>
        <v>0</v>
      </c>
      <c r="AJ214" s="44"/>
      <c r="AK214" s="44"/>
      <c r="AL214" s="44"/>
      <c r="AM214" s="44"/>
    </row>
    <row r="215" spans="2:39" ht="13.8" x14ac:dyDescent="0.25">
      <c r="B215" s="45"/>
      <c r="C215" s="29"/>
      <c r="D215" s="29"/>
      <c r="E215" s="29"/>
      <c r="F215" s="44"/>
      <c r="G215" s="44"/>
      <c r="H215" s="44"/>
      <c r="I215" s="44"/>
      <c r="J215" s="44"/>
      <c r="K215" s="29"/>
      <c r="L215" s="29"/>
      <c r="M215" s="44"/>
      <c r="N215" s="46">
        <f>'Table 1'!E208</f>
        <v>0</v>
      </c>
      <c r="O215" s="44"/>
      <c r="P215" s="44"/>
      <c r="Q215" s="44"/>
      <c r="R215" s="29"/>
      <c r="S215" s="44"/>
      <c r="T215" s="29"/>
      <c r="U215" s="29"/>
      <c r="V215" s="29"/>
      <c r="W215" s="29"/>
      <c r="X215" s="29"/>
      <c r="Y215" s="44"/>
      <c r="Z215" s="44"/>
      <c r="AA215" s="44"/>
      <c r="AB215" s="44"/>
      <c r="AC215" s="44"/>
      <c r="AD215" s="44"/>
      <c r="AE215" s="46">
        <f>'Table 1'!G208</f>
        <v>0</v>
      </c>
      <c r="AF215" s="44"/>
      <c r="AG215" s="44"/>
      <c r="AH215" s="44"/>
      <c r="AI215" s="47">
        <f>'Table 1'!I208*100</f>
        <v>0</v>
      </c>
      <c r="AJ215" s="44"/>
      <c r="AK215" s="44"/>
      <c r="AL215" s="44"/>
      <c r="AM215" s="44"/>
    </row>
    <row r="216" spans="2:39" ht="13.8" x14ac:dyDescent="0.25">
      <c r="B216" s="45"/>
      <c r="C216" s="29"/>
      <c r="D216" s="29"/>
      <c r="E216" s="29"/>
      <c r="F216" s="44"/>
      <c r="G216" s="44"/>
      <c r="H216" s="44"/>
      <c r="I216" s="44"/>
      <c r="J216" s="44"/>
      <c r="K216" s="29"/>
      <c r="L216" s="29"/>
      <c r="M216" s="44"/>
      <c r="N216" s="46">
        <f>'Table 1'!E209</f>
        <v>0</v>
      </c>
      <c r="O216" s="44"/>
      <c r="P216" s="44"/>
      <c r="Q216" s="44"/>
      <c r="R216" s="29"/>
      <c r="S216" s="44"/>
      <c r="T216" s="29"/>
      <c r="U216" s="29"/>
      <c r="V216" s="29"/>
      <c r="W216" s="29"/>
      <c r="X216" s="29"/>
      <c r="Y216" s="44"/>
      <c r="Z216" s="44"/>
      <c r="AA216" s="44"/>
      <c r="AB216" s="44"/>
      <c r="AC216" s="44"/>
      <c r="AD216" s="44"/>
      <c r="AE216" s="46">
        <f>'Table 1'!G209</f>
        <v>0</v>
      </c>
      <c r="AF216" s="44"/>
      <c r="AG216" s="44"/>
      <c r="AH216" s="44"/>
      <c r="AI216" s="47">
        <f>'Table 1'!I209*100</f>
        <v>0</v>
      </c>
      <c r="AJ216" s="44"/>
      <c r="AK216" s="44"/>
      <c r="AL216" s="44"/>
      <c r="AM216" s="44"/>
    </row>
    <row r="217" spans="2:39" ht="13.8" x14ac:dyDescent="0.25">
      <c r="B217" s="45"/>
      <c r="C217" s="29"/>
      <c r="D217" s="29"/>
      <c r="E217" s="29"/>
      <c r="F217" s="44"/>
      <c r="G217" s="44"/>
      <c r="H217" s="44"/>
      <c r="I217" s="44"/>
      <c r="J217" s="44"/>
      <c r="K217" s="29"/>
      <c r="L217" s="29"/>
      <c r="M217" s="44"/>
      <c r="N217" s="46">
        <f>'Table 1'!E210</f>
        <v>0</v>
      </c>
      <c r="O217" s="44"/>
      <c r="P217" s="44"/>
      <c r="Q217" s="44"/>
      <c r="R217" s="29"/>
      <c r="S217" s="44"/>
      <c r="T217" s="29"/>
      <c r="U217" s="29"/>
      <c r="V217" s="29"/>
      <c r="W217" s="29"/>
      <c r="X217" s="29"/>
      <c r="Y217" s="44"/>
      <c r="Z217" s="44"/>
      <c r="AA217" s="44"/>
      <c r="AB217" s="44"/>
      <c r="AC217" s="44"/>
      <c r="AD217" s="44"/>
      <c r="AE217" s="46">
        <f>'Table 1'!G210</f>
        <v>0</v>
      </c>
      <c r="AF217" s="44"/>
      <c r="AG217" s="44"/>
      <c r="AH217" s="44"/>
      <c r="AI217" s="47">
        <f>'Table 1'!I210*100</f>
        <v>0</v>
      </c>
      <c r="AJ217" s="44"/>
      <c r="AK217" s="44"/>
      <c r="AL217" s="44"/>
      <c r="AM217" s="44"/>
    </row>
    <row r="218" spans="2:39" ht="13.8" x14ac:dyDescent="0.25">
      <c r="B218" s="45"/>
      <c r="C218" s="29"/>
      <c r="D218" s="29"/>
      <c r="E218" s="29"/>
      <c r="F218" s="44"/>
      <c r="G218" s="44"/>
      <c r="H218" s="44"/>
      <c r="I218" s="44"/>
      <c r="J218" s="44"/>
      <c r="K218" s="29"/>
      <c r="L218" s="29"/>
      <c r="M218" s="44"/>
      <c r="N218" s="46">
        <f>'Table 1'!E211</f>
        <v>0</v>
      </c>
      <c r="O218" s="44"/>
      <c r="P218" s="44"/>
      <c r="Q218" s="44"/>
      <c r="R218" s="29"/>
      <c r="S218" s="44"/>
      <c r="T218" s="29"/>
      <c r="U218" s="29"/>
      <c r="V218" s="29"/>
      <c r="W218" s="29"/>
      <c r="X218" s="29"/>
      <c r="Y218" s="44"/>
      <c r="Z218" s="44"/>
      <c r="AA218" s="44"/>
      <c r="AB218" s="44"/>
      <c r="AC218" s="44"/>
      <c r="AD218" s="44"/>
      <c r="AE218" s="46">
        <f>'Table 1'!G211</f>
        <v>0</v>
      </c>
      <c r="AF218" s="44"/>
      <c r="AG218" s="44"/>
      <c r="AH218" s="44"/>
      <c r="AI218" s="47">
        <f>'Table 1'!I211*100</f>
        <v>0</v>
      </c>
      <c r="AJ218" s="44"/>
      <c r="AK218" s="44"/>
      <c r="AL218" s="44"/>
      <c r="AM218" s="44"/>
    </row>
    <row r="219" spans="2:39" ht="13.8" x14ac:dyDescent="0.25">
      <c r="B219" s="45"/>
      <c r="C219" s="29"/>
      <c r="D219" s="29"/>
      <c r="E219" s="29"/>
      <c r="F219" s="44"/>
      <c r="G219" s="44"/>
      <c r="H219" s="44"/>
      <c r="I219" s="44"/>
      <c r="J219" s="44"/>
      <c r="K219" s="29"/>
      <c r="L219" s="29"/>
      <c r="M219" s="44"/>
      <c r="N219" s="46">
        <f>'Table 1'!E212</f>
        <v>0</v>
      </c>
      <c r="O219" s="44"/>
      <c r="P219" s="44"/>
      <c r="Q219" s="44"/>
      <c r="R219" s="29"/>
      <c r="S219" s="44"/>
      <c r="T219" s="29"/>
      <c r="U219" s="29"/>
      <c r="V219" s="29"/>
      <c r="W219" s="29"/>
      <c r="X219" s="29"/>
      <c r="Y219" s="44"/>
      <c r="Z219" s="44"/>
      <c r="AA219" s="44"/>
      <c r="AB219" s="44"/>
      <c r="AC219" s="44"/>
      <c r="AD219" s="44"/>
      <c r="AE219" s="46">
        <f>'Table 1'!G212</f>
        <v>0</v>
      </c>
      <c r="AF219" s="44"/>
      <c r="AG219" s="44"/>
      <c r="AH219" s="44"/>
      <c r="AI219" s="47">
        <f>'Table 1'!I212*100</f>
        <v>0</v>
      </c>
      <c r="AJ219" s="44"/>
      <c r="AK219" s="44"/>
      <c r="AL219" s="44"/>
      <c r="AM219" s="44"/>
    </row>
    <row r="220" spans="2:39" ht="13.8" x14ac:dyDescent="0.25">
      <c r="B220" s="45"/>
      <c r="C220" s="29"/>
      <c r="D220" s="29"/>
      <c r="E220" s="29"/>
      <c r="F220" s="44"/>
      <c r="G220" s="44"/>
      <c r="H220" s="44"/>
      <c r="I220" s="44"/>
      <c r="J220" s="44"/>
      <c r="K220" s="29"/>
      <c r="L220" s="29"/>
      <c r="M220" s="44"/>
      <c r="N220" s="46">
        <f>'Table 1'!E213</f>
        <v>0</v>
      </c>
      <c r="O220" s="44"/>
      <c r="P220" s="44"/>
      <c r="Q220" s="44"/>
      <c r="R220" s="29"/>
      <c r="S220" s="44"/>
      <c r="T220" s="29"/>
      <c r="U220" s="29"/>
      <c r="V220" s="29"/>
      <c r="W220" s="29"/>
      <c r="X220" s="29"/>
      <c r="Y220" s="44"/>
      <c r="Z220" s="44"/>
      <c r="AA220" s="44"/>
      <c r="AB220" s="44"/>
      <c r="AC220" s="44"/>
      <c r="AD220" s="44"/>
      <c r="AE220" s="46">
        <f>'Table 1'!G213</f>
        <v>0</v>
      </c>
      <c r="AF220" s="44"/>
      <c r="AG220" s="44"/>
      <c r="AH220" s="44"/>
      <c r="AI220" s="47">
        <f>'Table 1'!I213*100</f>
        <v>0</v>
      </c>
      <c r="AJ220" s="44"/>
      <c r="AK220" s="44"/>
      <c r="AL220" s="44"/>
      <c r="AM220" s="44"/>
    </row>
    <row r="221" spans="2:39" ht="13.8" x14ac:dyDescent="0.25">
      <c r="B221" s="45"/>
      <c r="C221" s="29"/>
      <c r="D221" s="29"/>
      <c r="E221" s="29"/>
      <c r="F221" s="44"/>
      <c r="G221" s="44"/>
      <c r="H221" s="44"/>
      <c r="I221" s="44"/>
      <c r="J221" s="44"/>
      <c r="K221" s="29"/>
      <c r="L221" s="29"/>
      <c r="M221" s="44"/>
      <c r="N221" s="46">
        <f>'Table 1'!E214</f>
        <v>0</v>
      </c>
      <c r="O221" s="44"/>
      <c r="P221" s="44"/>
      <c r="Q221" s="44"/>
      <c r="R221" s="29"/>
      <c r="S221" s="44"/>
      <c r="T221" s="29"/>
      <c r="U221" s="29"/>
      <c r="V221" s="29"/>
      <c r="W221" s="29"/>
      <c r="X221" s="29"/>
      <c r="Y221" s="44"/>
      <c r="Z221" s="44"/>
      <c r="AA221" s="44"/>
      <c r="AB221" s="44"/>
      <c r="AC221" s="44"/>
      <c r="AD221" s="44"/>
      <c r="AE221" s="46">
        <f>'Table 1'!G214</f>
        <v>0</v>
      </c>
      <c r="AF221" s="44"/>
      <c r="AG221" s="44"/>
      <c r="AH221" s="44"/>
      <c r="AI221" s="47">
        <f>'Table 1'!I214*100</f>
        <v>0</v>
      </c>
      <c r="AJ221" s="44"/>
      <c r="AK221" s="44"/>
      <c r="AL221" s="44"/>
      <c r="AM221" s="44"/>
    </row>
    <row r="222" spans="2:39" ht="13.8" x14ac:dyDescent="0.25">
      <c r="B222" s="45"/>
      <c r="C222" s="29"/>
      <c r="D222" s="29"/>
      <c r="E222" s="29"/>
      <c r="F222" s="44"/>
      <c r="G222" s="44"/>
      <c r="H222" s="44"/>
      <c r="I222" s="44"/>
      <c r="J222" s="44"/>
      <c r="K222" s="29"/>
      <c r="L222" s="29"/>
      <c r="M222" s="44"/>
      <c r="N222" s="46">
        <f>'Table 1'!E215</f>
        <v>0</v>
      </c>
      <c r="O222" s="44"/>
      <c r="P222" s="44"/>
      <c r="Q222" s="44"/>
      <c r="R222" s="29"/>
      <c r="S222" s="44"/>
      <c r="T222" s="29"/>
      <c r="U222" s="29"/>
      <c r="V222" s="29"/>
      <c r="W222" s="29"/>
      <c r="X222" s="29"/>
      <c r="Y222" s="44"/>
      <c r="Z222" s="44"/>
      <c r="AA222" s="44"/>
      <c r="AB222" s="44"/>
      <c r="AC222" s="44"/>
      <c r="AD222" s="44"/>
      <c r="AE222" s="46">
        <f>'Table 1'!G215</f>
        <v>0</v>
      </c>
      <c r="AF222" s="44"/>
      <c r="AG222" s="44"/>
      <c r="AH222" s="44"/>
      <c r="AI222" s="47">
        <f>'Table 1'!I215*100</f>
        <v>0</v>
      </c>
      <c r="AJ222" s="44"/>
      <c r="AK222" s="44"/>
      <c r="AL222" s="44"/>
      <c r="AM222" s="44"/>
    </row>
    <row r="223" spans="2:39" ht="13.8" x14ac:dyDescent="0.25">
      <c r="B223" s="45"/>
      <c r="C223" s="29"/>
      <c r="D223" s="29"/>
      <c r="E223" s="29"/>
      <c r="F223" s="44"/>
      <c r="G223" s="44"/>
      <c r="H223" s="44"/>
      <c r="I223" s="44"/>
      <c r="J223" s="44"/>
      <c r="K223" s="29"/>
      <c r="L223" s="29"/>
      <c r="M223" s="44"/>
      <c r="N223" s="46">
        <f>'Table 1'!E216</f>
        <v>0</v>
      </c>
      <c r="O223" s="44"/>
      <c r="P223" s="44"/>
      <c r="Q223" s="44"/>
      <c r="R223" s="29"/>
      <c r="S223" s="44"/>
      <c r="T223" s="29"/>
      <c r="U223" s="29"/>
      <c r="V223" s="29"/>
      <c r="W223" s="29"/>
      <c r="X223" s="29"/>
      <c r="Y223" s="44"/>
      <c r="Z223" s="44"/>
      <c r="AA223" s="44"/>
      <c r="AB223" s="44"/>
      <c r="AC223" s="44"/>
      <c r="AD223" s="44"/>
      <c r="AE223" s="46">
        <f>'Table 1'!G216</f>
        <v>0</v>
      </c>
      <c r="AF223" s="44"/>
      <c r="AG223" s="44"/>
      <c r="AH223" s="44"/>
      <c r="AI223" s="47">
        <f>'Table 1'!I216*100</f>
        <v>0</v>
      </c>
      <c r="AJ223" s="44"/>
      <c r="AK223" s="44"/>
      <c r="AL223" s="44"/>
      <c r="AM223" s="44"/>
    </row>
    <row r="224" spans="2:39" ht="13.8" x14ac:dyDescent="0.25">
      <c r="B224" s="45"/>
      <c r="C224" s="29"/>
      <c r="D224" s="29"/>
      <c r="E224" s="29"/>
      <c r="F224" s="44"/>
      <c r="G224" s="44"/>
      <c r="H224" s="44"/>
      <c r="I224" s="44"/>
      <c r="J224" s="44"/>
      <c r="K224" s="29"/>
      <c r="L224" s="29"/>
      <c r="M224" s="44"/>
      <c r="N224" s="46">
        <f>'Table 1'!E217</f>
        <v>0</v>
      </c>
      <c r="O224" s="44"/>
      <c r="P224" s="44"/>
      <c r="Q224" s="44"/>
      <c r="R224" s="29"/>
      <c r="S224" s="44"/>
      <c r="T224" s="29"/>
      <c r="U224" s="29"/>
      <c r="V224" s="29"/>
      <c r="W224" s="29"/>
      <c r="X224" s="29"/>
      <c r="Y224" s="44"/>
      <c r="Z224" s="44"/>
      <c r="AA224" s="44"/>
      <c r="AB224" s="44"/>
      <c r="AC224" s="44"/>
      <c r="AD224" s="44"/>
      <c r="AE224" s="46">
        <f>'Table 1'!G217</f>
        <v>0</v>
      </c>
      <c r="AF224" s="44"/>
      <c r="AG224" s="44"/>
      <c r="AH224" s="44"/>
      <c r="AI224" s="47">
        <f>'Table 1'!I217*100</f>
        <v>0</v>
      </c>
      <c r="AJ224" s="44"/>
      <c r="AK224" s="44"/>
      <c r="AL224" s="44"/>
      <c r="AM224" s="44"/>
    </row>
    <row r="225" spans="2:39" ht="13.8" x14ac:dyDescent="0.25">
      <c r="B225" s="45"/>
      <c r="C225" s="29"/>
      <c r="D225" s="29"/>
      <c r="E225" s="29"/>
      <c r="F225" s="44"/>
      <c r="G225" s="44"/>
      <c r="H225" s="44"/>
      <c r="I225" s="44"/>
      <c r="J225" s="44"/>
      <c r="K225" s="29"/>
      <c r="L225" s="29"/>
      <c r="M225" s="44"/>
      <c r="N225" s="46">
        <f>'Table 1'!E218</f>
        <v>0</v>
      </c>
      <c r="O225" s="44"/>
      <c r="P225" s="44"/>
      <c r="Q225" s="44"/>
      <c r="R225" s="29"/>
      <c r="S225" s="44"/>
      <c r="T225" s="29"/>
      <c r="U225" s="29"/>
      <c r="V225" s="29"/>
      <c r="W225" s="29"/>
      <c r="X225" s="29"/>
      <c r="Y225" s="44"/>
      <c r="Z225" s="44"/>
      <c r="AA225" s="44"/>
      <c r="AB225" s="44"/>
      <c r="AC225" s="44"/>
      <c r="AD225" s="44"/>
      <c r="AE225" s="46">
        <f>'Table 1'!G218</f>
        <v>0</v>
      </c>
      <c r="AF225" s="44"/>
      <c r="AG225" s="44"/>
      <c r="AH225" s="44"/>
      <c r="AI225" s="47">
        <f>'Table 1'!I218*100</f>
        <v>0</v>
      </c>
      <c r="AJ225" s="44"/>
      <c r="AK225" s="44"/>
      <c r="AL225" s="44"/>
      <c r="AM225" s="44"/>
    </row>
    <row r="226" spans="2:39" ht="13.8" x14ac:dyDescent="0.25">
      <c r="B226" s="45"/>
      <c r="C226" s="29"/>
      <c r="D226" s="29"/>
      <c r="E226" s="29"/>
      <c r="F226" s="44"/>
      <c r="G226" s="44"/>
      <c r="H226" s="44"/>
      <c r="I226" s="44"/>
      <c r="J226" s="44"/>
      <c r="K226" s="29"/>
      <c r="L226" s="29"/>
      <c r="M226" s="44"/>
      <c r="N226" s="46">
        <f>'Table 1'!E219</f>
        <v>0</v>
      </c>
      <c r="O226" s="44"/>
      <c r="P226" s="44"/>
      <c r="Q226" s="44"/>
      <c r="R226" s="29"/>
      <c r="S226" s="44"/>
      <c r="T226" s="29"/>
      <c r="U226" s="29"/>
      <c r="V226" s="29"/>
      <c r="W226" s="29"/>
      <c r="X226" s="29"/>
      <c r="Y226" s="44"/>
      <c r="Z226" s="44"/>
      <c r="AA226" s="44"/>
      <c r="AB226" s="44"/>
      <c r="AC226" s="44"/>
      <c r="AD226" s="44"/>
      <c r="AE226" s="46">
        <f>'Table 1'!G219</f>
        <v>0</v>
      </c>
      <c r="AF226" s="44"/>
      <c r="AG226" s="44"/>
      <c r="AH226" s="44"/>
      <c r="AI226" s="47">
        <f>'Table 1'!I219*100</f>
        <v>0</v>
      </c>
      <c r="AJ226" s="44"/>
      <c r="AK226" s="44"/>
      <c r="AL226" s="44"/>
      <c r="AM226" s="44"/>
    </row>
    <row r="227" spans="2:39" ht="13.8" x14ac:dyDescent="0.25">
      <c r="B227" s="45"/>
      <c r="C227" s="29"/>
      <c r="D227" s="29"/>
      <c r="E227" s="29"/>
      <c r="F227" s="44"/>
      <c r="G227" s="44"/>
      <c r="H227" s="44"/>
      <c r="I227" s="44"/>
      <c r="J227" s="44"/>
      <c r="K227" s="29"/>
      <c r="L227" s="29"/>
      <c r="M227" s="44"/>
      <c r="N227" s="46">
        <f>'Table 1'!E220</f>
        <v>0</v>
      </c>
      <c r="O227" s="44"/>
      <c r="P227" s="44"/>
      <c r="Q227" s="44"/>
      <c r="R227" s="29"/>
      <c r="S227" s="44"/>
      <c r="T227" s="29"/>
      <c r="U227" s="29"/>
      <c r="V227" s="29"/>
      <c r="W227" s="29"/>
      <c r="X227" s="29"/>
      <c r="Y227" s="44"/>
      <c r="Z227" s="44"/>
      <c r="AA227" s="44"/>
      <c r="AB227" s="44"/>
      <c r="AC227" s="44"/>
      <c r="AD227" s="44"/>
      <c r="AE227" s="46">
        <f>'Table 1'!G220</f>
        <v>0</v>
      </c>
      <c r="AF227" s="44"/>
      <c r="AG227" s="44"/>
      <c r="AH227" s="44"/>
      <c r="AI227" s="47">
        <f>'Table 1'!I220*100</f>
        <v>0</v>
      </c>
      <c r="AJ227" s="44"/>
      <c r="AK227" s="44"/>
      <c r="AL227" s="44"/>
      <c r="AM227" s="44"/>
    </row>
    <row r="228" spans="2:39" ht="13.8" x14ac:dyDescent="0.25">
      <c r="B228" s="45"/>
      <c r="C228" s="29"/>
      <c r="D228" s="29"/>
      <c r="E228" s="29"/>
      <c r="F228" s="44"/>
      <c r="G228" s="44"/>
      <c r="H228" s="44"/>
      <c r="I228" s="44"/>
      <c r="J228" s="44"/>
      <c r="K228" s="29"/>
      <c r="L228" s="29"/>
      <c r="M228" s="44"/>
      <c r="N228" s="46">
        <f>'Table 1'!E221</f>
        <v>0</v>
      </c>
      <c r="O228" s="44"/>
      <c r="P228" s="44"/>
      <c r="Q228" s="44"/>
      <c r="R228" s="29"/>
      <c r="S228" s="44"/>
      <c r="T228" s="29"/>
      <c r="U228" s="29"/>
      <c r="V228" s="29"/>
      <c r="W228" s="29"/>
      <c r="X228" s="29"/>
      <c r="Y228" s="44"/>
      <c r="Z228" s="44"/>
      <c r="AA228" s="44"/>
      <c r="AB228" s="44"/>
      <c r="AC228" s="44"/>
      <c r="AD228" s="44"/>
      <c r="AE228" s="46">
        <f>'Table 1'!G221</f>
        <v>0</v>
      </c>
      <c r="AF228" s="44"/>
      <c r="AG228" s="44"/>
      <c r="AH228" s="44"/>
      <c r="AI228" s="47">
        <f>'Table 1'!I221*100</f>
        <v>0</v>
      </c>
      <c r="AJ228" s="44"/>
      <c r="AK228" s="44"/>
      <c r="AL228" s="44"/>
      <c r="AM228" s="44"/>
    </row>
    <row r="229" spans="2:39" ht="13.8" x14ac:dyDescent="0.25">
      <c r="B229" s="45"/>
      <c r="C229" s="29"/>
      <c r="D229" s="29"/>
      <c r="E229" s="29"/>
      <c r="F229" s="44"/>
      <c r="G229" s="44"/>
      <c r="H229" s="44"/>
      <c r="I229" s="44"/>
      <c r="J229" s="44"/>
      <c r="K229" s="29"/>
      <c r="L229" s="29"/>
      <c r="M229" s="44"/>
      <c r="N229" s="46">
        <f>'Table 1'!E222</f>
        <v>0</v>
      </c>
      <c r="O229" s="44"/>
      <c r="P229" s="44"/>
      <c r="Q229" s="44"/>
      <c r="R229" s="29"/>
      <c r="S229" s="44"/>
      <c r="T229" s="29"/>
      <c r="U229" s="29"/>
      <c r="V229" s="29"/>
      <c r="W229" s="29"/>
      <c r="X229" s="29"/>
      <c r="Y229" s="44"/>
      <c r="Z229" s="44"/>
      <c r="AA229" s="44"/>
      <c r="AB229" s="44"/>
      <c r="AC229" s="44"/>
      <c r="AD229" s="44"/>
      <c r="AE229" s="46">
        <f>'Table 1'!G222</f>
        <v>0</v>
      </c>
      <c r="AF229" s="44"/>
      <c r="AG229" s="44"/>
      <c r="AH229" s="44"/>
      <c r="AI229" s="47">
        <f>'Table 1'!I222*100</f>
        <v>0</v>
      </c>
      <c r="AJ229" s="44"/>
      <c r="AK229" s="44"/>
      <c r="AL229" s="44"/>
      <c r="AM229" s="44"/>
    </row>
    <row r="230" spans="2:39" ht="13.8" x14ac:dyDescent="0.25">
      <c r="B230" s="45"/>
      <c r="C230" s="29"/>
      <c r="D230" s="29"/>
      <c r="E230" s="29"/>
      <c r="F230" s="44"/>
      <c r="G230" s="44"/>
      <c r="H230" s="44"/>
      <c r="I230" s="44"/>
      <c r="J230" s="44"/>
      <c r="K230" s="29"/>
      <c r="L230" s="29"/>
      <c r="M230" s="44"/>
      <c r="N230" s="46">
        <f>'Table 1'!E223</f>
        <v>0</v>
      </c>
      <c r="O230" s="44"/>
      <c r="P230" s="44"/>
      <c r="Q230" s="44"/>
      <c r="R230" s="29"/>
      <c r="S230" s="44"/>
      <c r="T230" s="29"/>
      <c r="U230" s="29"/>
      <c r="V230" s="29"/>
      <c r="W230" s="29"/>
      <c r="X230" s="29"/>
      <c r="Y230" s="44"/>
      <c r="Z230" s="44"/>
      <c r="AA230" s="44"/>
      <c r="AB230" s="44"/>
      <c r="AC230" s="44"/>
      <c r="AD230" s="44"/>
      <c r="AE230" s="46">
        <f>'Table 1'!G223</f>
        <v>0</v>
      </c>
      <c r="AF230" s="44"/>
      <c r="AG230" s="44"/>
      <c r="AH230" s="44"/>
      <c r="AI230" s="47">
        <f>'Table 1'!I223*100</f>
        <v>0</v>
      </c>
      <c r="AJ230" s="44"/>
      <c r="AK230" s="44"/>
      <c r="AL230" s="44"/>
      <c r="AM230" s="44"/>
    </row>
    <row r="231" spans="2:39" ht="13.8" x14ac:dyDescent="0.25">
      <c r="B231" s="45"/>
      <c r="C231" s="29"/>
      <c r="D231" s="29"/>
      <c r="E231" s="29"/>
      <c r="F231" s="44"/>
      <c r="G231" s="44"/>
      <c r="H231" s="44"/>
      <c r="I231" s="44"/>
      <c r="J231" s="44"/>
      <c r="K231" s="29"/>
      <c r="L231" s="29"/>
      <c r="M231" s="44"/>
      <c r="N231" s="46">
        <f>'Table 1'!E224</f>
        <v>0</v>
      </c>
      <c r="O231" s="44"/>
      <c r="P231" s="44"/>
      <c r="Q231" s="44"/>
      <c r="R231" s="29"/>
      <c r="S231" s="44"/>
      <c r="T231" s="29"/>
      <c r="U231" s="29"/>
      <c r="V231" s="29"/>
      <c r="W231" s="29"/>
      <c r="X231" s="29"/>
      <c r="Y231" s="44"/>
      <c r="Z231" s="44"/>
      <c r="AA231" s="44"/>
      <c r="AB231" s="44"/>
      <c r="AC231" s="44"/>
      <c r="AD231" s="44"/>
      <c r="AE231" s="46">
        <f>'Table 1'!G224</f>
        <v>0</v>
      </c>
      <c r="AF231" s="44"/>
      <c r="AG231" s="44"/>
      <c r="AH231" s="44"/>
      <c r="AI231" s="47">
        <f>'Table 1'!I224*100</f>
        <v>0</v>
      </c>
      <c r="AJ231" s="44"/>
      <c r="AK231" s="44"/>
      <c r="AL231" s="44"/>
      <c r="AM231" s="44"/>
    </row>
    <row r="232" spans="2:39" ht="13.8" x14ac:dyDescent="0.25">
      <c r="B232" s="45"/>
      <c r="C232" s="29"/>
      <c r="D232" s="29"/>
      <c r="E232" s="29"/>
      <c r="F232" s="44"/>
      <c r="G232" s="44"/>
      <c r="H232" s="44"/>
      <c r="I232" s="44"/>
      <c r="J232" s="44"/>
      <c r="K232" s="29"/>
      <c r="L232" s="29"/>
      <c r="M232" s="44"/>
      <c r="N232" s="46">
        <f>'Table 1'!E225</f>
        <v>0</v>
      </c>
      <c r="O232" s="44"/>
      <c r="P232" s="44"/>
      <c r="Q232" s="44"/>
      <c r="R232" s="29"/>
      <c r="S232" s="44"/>
      <c r="T232" s="29"/>
      <c r="U232" s="29"/>
      <c r="V232" s="29"/>
      <c r="W232" s="29"/>
      <c r="X232" s="29"/>
      <c r="Y232" s="44"/>
      <c r="Z232" s="44"/>
      <c r="AA232" s="44"/>
      <c r="AB232" s="44"/>
      <c r="AC232" s="44"/>
      <c r="AD232" s="44"/>
      <c r="AE232" s="46">
        <f>'Table 1'!G225</f>
        <v>0</v>
      </c>
      <c r="AF232" s="44"/>
      <c r="AG232" s="44"/>
      <c r="AH232" s="44"/>
      <c r="AI232" s="47">
        <f>'Table 1'!I225*100</f>
        <v>0</v>
      </c>
      <c r="AJ232" s="44"/>
      <c r="AK232" s="44"/>
      <c r="AL232" s="44"/>
      <c r="AM232" s="44"/>
    </row>
    <row r="233" spans="2:39" ht="13.8" x14ac:dyDescent="0.25">
      <c r="B233" s="45"/>
      <c r="C233" s="29"/>
      <c r="D233" s="29"/>
      <c r="E233" s="29"/>
      <c r="F233" s="44"/>
      <c r="G233" s="44"/>
      <c r="H233" s="44"/>
      <c r="I233" s="44"/>
      <c r="J233" s="44"/>
      <c r="K233" s="29"/>
      <c r="L233" s="29"/>
      <c r="M233" s="44"/>
      <c r="N233" s="46">
        <f>'Table 1'!E226</f>
        <v>0</v>
      </c>
      <c r="O233" s="44"/>
      <c r="P233" s="44"/>
      <c r="Q233" s="44"/>
      <c r="R233" s="29"/>
      <c r="S233" s="44"/>
      <c r="T233" s="29"/>
      <c r="U233" s="29"/>
      <c r="V233" s="29"/>
      <c r="W233" s="29"/>
      <c r="X233" s="29"/>
      <c r="Y233" s="44"/>
      <c r="Z233" s="44"/>
      <c r="AA233" s="44"/>
      <c r="AB233" s="44"/>
      <c r="AC233" s="44"/>
      <c r="AD233" s="44"/>
      <c r="AE233" s="46">
        <f>'Table 1'!G226</f>
        <v>0</v>
      </c>
      <c r="AF233" s="44"/>
      <c r="AG233" s="44"/>
      <c r="AH233" s="44"/>
      <c r="AI233" s="47">
        <f>'Table 1'!I226*100</f>
        <v>0</v>
      </c>
      <c r="AJ233" s="44"/>
      <c r="AK233" s="44"/>
      <c r="AL233" s="44"/>
      <c r="AM233" s="44"/>
    </row>
    <row r="234" spans="2:39" ht="13.8" x14ac:dyDescent="0.25">
      <c r="B234" s="45"/>
      <c r="C234" s="29"/>
      <c r="D234" s="29"/>
      <c r="E234" s="29"/>
      <c r="F234" s="44"/>
      <c r="G234" s="44"/>
      <c r="H234" s="44"/>
      <c r="I234" s="44"/>
      <c r="J234" s="44"/>
      <c r="K234" s="29"/>
      <c r="L234" s="29"/>
      <c r="M234" s="44"/>
      <c r="N234" s="46">
        <f>'Table 1'!E227</f>
        <v>0</v>
      </c>
      <c r="O234" s="44"/>
      <c r="P234" s="44"/>
      <c r="Q234" s="44"/>
      <c r="R234" s="29"/>
      <c r="S234" s="44"/>
      <c r="T234" s="29"/>
      <c r="U234" s="29"/>
      <c r="V234" s="29"/>
      <c r="W234" s="29"/>
      <c r="X234" s="29"/>
      <c r="Y234" s="44"/>
      <c r="Z234" s="44"/>
      <c r="AA234" s="44"/>
      <c r="AB234" s="44"/>
      <c r="AC234" s="44"/>
      <c r="AD234" s="44"/>
      <c r="AE234" s="46">
        <f>'Table 1'!G227</f>
        <v>0</v>
      </c>
      <c r="AF234" s="44"/>
      <c r="AG234" s="44"/>
      <c r="AH234" s="44"/>
      <c r="AI234" s="47">
        <f>'Table 1'!I227*100</f>
        <v>0</v>
      </c>
      <c r="AJ234" s="44"/>
      <c r="AK234" s="44"/>
      <c r="AL234" s="44"/>
      <c r="AM234" s="44"/>
    </row>
    <row r="235" spans="2:39" ht="13.8" x14ac:dyDescent="0.25">
      <c r="B235" s="45"/>
      <c r="C235" s="29"/>
      <c r="D235" s="29"/>
      <c r="E235" s="29"/>
      <c r="F235" s="44"/>
      <c r="G235" s="44"/>
      <c r="H235" s="44"/>
      <c r="I235" s="44"/>
      <c r="J235" s="44"/>
      <c r="K235" s="29"/>
      <c r="L235" s="29"/>
      <c r="M235" s="44"/>
      <c r="N235" s="46">
        <f>'Table 1'!E228</f>
        <v>0</v>
      </c>
      <c r="O235" s="44"/>
      <c r="P235" s="44"/>
      <c r="Q235" s="44"/>
      <c r="R235" s="29"/>
      <c r="S235" s="44"/>
      <c r="T235" s="29"/>
      <c r="U235" s="29"/>
      <c r="V235" s="29"/>
      <c r="W235" s="29"/>
      <c r="X235" s="29"/>
      <c r="Y235" s="44"/>
      <c r="Z235" s="44"/>
      <c r="AA235" s="44"/>
      <c r="AB235" s="44"/>
      <c r="AC235" s="44"/>
      <c r="AD235" s="44"/>
      <c r="AE235" s="46">
        <f>'Table 1'!G228</f>
        <v>0</v>
      </c>
      <c r="AF235" s="44"/>
      <c r="AG235" s="44"/>
      <c r="AH235" s="44"/>
      <c r="AI235" s="47">
        <f>'Table 1'!I228*100</f>
        <v>0</v>
      </c>
      <c r="AJ235" s="44"/>
      <c r="AK235" s="44"/>
      <c r="AL235" s="44"/>
      <c r="AM235" s="44"/>
    </row>
    <row r="236" spans="2:39" ht="13.8" x14ac:dyDescent="0.25">
      <c r="B236" s="45"/>
      <c r="C236" s="29"/>
      <c r="D236" s="29"/>
      <c r="E236" s="29"/>
      <c r="F236" s="44"/>
      <c r="G236" s="44"/>
      <c r="H236" s="44"/>
      <c r="I236" s="44"/>
      <c r="J236" s="44"/>
      <c r="K236" s="29"/>
      <c r="L236" s="29"/>
      <c r="M236" s="44"/>
      <c r="N236" s="46">
        <f>'Table 1'!E229</f>
        <v>0</v>
      </c>
      <c r="O236" s="44"/>
      <c r="P236" s="44"/>
      <c r="Q236" s="44"/>
      <c r="R236" s="29"/>
      <c r="S236" s="44"/>
      <c r="T236" s="29"/>
      <c r="U236" s="29"/>
      <c r="V236" s="29"/>
      <c r="W236" s="29"/>
      <c r="X236" s="29"/>
      <c r="Y236" s="44"/>
      <c r="Z236" s="44"/>
      <c r="AA236" s="44"/>
      <c r="AB236" s="44"/>
      <c r="AC236" s="44"/>
      <c r="AD236" s="44"/>
      <c r="AE236" s="46">
        <f>'Table 1'!G229</f>
        <v>0</v>
      </c>
      <c r="AF236" s="44"/>
      <c r="AG236" s="44"/>
      <c r="AH236" s="44"/>
      <c r="AI236" s="47">
        <f>'Table 1'!I229*100</f>
        <v>0</v>
      </c>
      <c r="AJ236" s="44"/>
      <c r="AK236" s="44"/>
      <c r="AL236" s="44"/>
      <c r="AM236" s="44"/>
    </row>
    <row r="237" spans="2:39" ht="13.8" x14ac:dyDescent="0.25">
      <c r="B237" s="45"/>
      <c r="C237" s="29"/>
      <c r="D237" s="29"/>
      <c r="E237" s="29"/>
      <c r="F237" s="44"/>
      <c r="G237" s="44"/>
      <c r="H237" s="44"/>
      <c r="I237" s="44"/>
      <c r="J237" s="44"/>
      <c r="K237" s="29"/>
      <c r="L237" s="29"/>
      <c r="M237" s="44"/>
      <c r="N237" s="46">
        <f>'Table 1'!E230</f>
        <v>0</v>
      </c>
      <c r="O237" s="44"/>
      <c r="P237" s="44"/>
      <c r="Q237" s="44"/>
      <c r="R237" s="29"/>
      <c r="S237" s="44"/>
      <c r="T237" s="29"/>
      <c r="U237" s="29"/>
      <c r="V237" s="29"/>
      <c r="W237" s="29"/>
      <c r="X237" s="29"/>
      <c r="Y237" s="44"/>
      <c r="Z237" s="44"/>
      <c r="AA237" s="44"/>
      <c r="AB237" s="44"/>
      <c r="AC237" s="44"/>
      <c r="AD237" s="44"/>
      <c r="AE237" s="46">
        <f>'Table 1'!G230</f>
        <v>0</v>
      </c>
      <c r="AF237" s="44"/>
      <c r="AG237" s="44"/>
      <c r="AH237" s="44"/>
      <c r="AI237" s="47">
        <f>'Table 1'!I230*100</f>
        <v>0</v>
      </c>
      <c r="AJ237" s="44"/>
      <c r="AK237" s="44"/>
      <c r="AL237" s="44"/>
      <c r="AM237" s="44"/>
    </row>
    <row r="238" spans="2:39" ht="13.8" x14ac:dyDescent="0.25">
      <c r="B238" s="45"/>
      <c r="C238" s="29"/>
      <c r="D238" s="29"/>
      <c r="E238" s="29"/>
      <c r="F238" s="44"/>
      <c r="G238" s="44"/>
      <c r="H238" s="44"/>
      <c r="I238" s="44"/>
      <c r="J238" s="44"/>
      <c r="K238" s="29"/>
      <c r="L238" s="29"/>
      <c r="M238" s="44"/>
      <c r="N238" s="46">
        <f>'Table 1'!E231</f>
        <v>0</v>
      </c>
      <c r="O238" s="44"/>
      <c r="P238" s="44"/>
      <c r="Q238" s="44"/>
      <c r="R238" s="29"/>
      <c r="S238" s="44"/>
      <c r="T238" s="29"/>
      <c r="U238" s="29"/>
      <c r="V238" s="29"/>
      <c r="W238" s="29"/>
      <c r="X238" s="29"/>
      <c r="Y238" s="44"/>
      <c r="Z238" s="44"/>
      <c r="AA238" s="44"/>
      <c r="AB238" s="44"/>
      <c r="AC238" s="44"/>
      <c r="AD238" s="44"/>
      <c r="AE238" s="46">
        <f>'Table 1'!G231</f>
        <v>0</v>
      </c>
      <c r="AF238" s="44"/>
      <c r="AG238" s="44"/>
      <c r="AH238" s="44"/>
      <c r="AI238" s="47">
        <f>'Table 1'!I231*100</f>
        <v>0</v>
      </c>
      <c r="AJ238" s="44"/>
      <c r="AK238" s="44"/>
      <c r="AL238" s="44"/>
      <c r="AM238" s="44"/>
    </row>
    <row r="239" spans="2:39" ht="13.8" x14ac:dyDescent="0.25">
      <c r="B239" s="45"/>
      <c r="C239" s="29"/>
      <c r="D239" s="29"/>
      <c r="E239" s="29"/>
      <c r="F239" s="44"/>
      <c r="G239" s="44"/>
      <c r="H239" s="44"/>
      <c r="I239" s="44"/>
      <c r="J239" s="44"/>
      <c r="K239" s="29"/>
      <c r="L239" s="29"/>
      <c r="M239" s="44"/>
      <c r="N239" s="46">
        <f>'Table 1'!E232</f>
        <v>0</v>
      </c>
      <c r="O239" s="44"/>
      <c r="P239" s="44"/>
      <c r="Q239" s="44"/>
      <c r="R239" s="29"/>
      <c r="S239" s="44"/>
      <c r="T239" s="29"/>
      <c r="U239" s="29"/>
      <c r="V239" s="29"/>
      <c r="W239" s="29"/>
      <c r="X239" s="29"/>
      <c r="Y239" s="44"/>
      <c r="Z239" s="44"/>
      <c r="AA239" s="44"/>
      <c r="AB239" s="44"/>
      <c r="AC239" s="44"/>
      <c r="AD239" s="44"/>
      <c r="AE239" s="46">
        <f>'Table 1'!G232</f>
        <v>0</v>
      </c>
      <c r="AF239" s="44"/>
      <c r="AG239" s="44"/>
      <c r="AH239" s="44"/>
      <c r="AI239" s="47">
        <f>'Table 1'!I232*100</f>
        <v>0</v>
      </c>
      <c r="AJ239" s="44"/>
      <c r="AK239" s="44"/>
      <c r="AL239" s="44"/>
      <c r="AM239" s="44"/>
    </row>
    <row r="240" spans="2:39" ht="13.8" x14ac:dyDescent="0.25">
      <c r="B240" s="45"/>
      <c r="C240" s="29"/>
      <c r="D240" s="29"/>
      <c r="E240" s="29"/>
      <c r="F240" s="44"/>
      <c r="G240" s="44"/>
      <c r="H240" s="44"/>
      <c r="I240" s="44"/>
      <c r="J240" s="44"/>
      <c r="K240" s="29"/>
      <c r="L240" s="29"/>
      <c r="M240" s="44"/>
      <c r="N240" s="46">
        <f>'Table 1'!E233</f>
        <v>0</v>
      </c>
      <c r="O240" s="44"/>
      <c r="P240" s="44"/>
      <c r="Q240" s="44"/>
      <c r="R240" s="29"/>
      <c r="S240" s="44"/>
      <c r="T240" s="29"/>
      <c r="U240" s="29"/>
      <c r="V240" s="29"/>
      <c r="W240" s="29"/>
      <c r="X240" s="29"/>
      <c r="Y240" s="44"/>
      <c r="Z240" s="44"/>
      <c r="AA240" s="44"/>
      <c r="AB240" s="44"/>
      <c r="AC240" s="44"/>
      <c r="AD240" s="44"/>
      <c r="AE240" s="46">
        <f>'Table 1'!G233</f>
        <v>0</v>
      </c>
      <c r="AF240" s="44"/>
      <c r="AG240" s="44"/>
      <c r="AH240" s="44"/>
      <c r="AI240" s="47">
        <f>'Table 1'!I233*100</f>
        <v>0</v>
      </c>
      <c r="AJ240" s="44"/>
      <c r="AK240" s="44"/>
      <c r="AL240" s="44"/>
      <c r="AM240" s="44"/>
    </row>
    <row r="241" spans="2:39" ht="13.8" x14ac:dyDescent="0.25">
      <c r="B241" s="45"/>
      <c r="C241" s="29"/>
      <c r="D241" s="29"/>
      <c r="E241" s="29"/>
      <c r="F241" s="44"/>
      <c r="G241" s="44"/>
      <c r="H241" s="44"/>
      <c r="I241" s="44"/>
      <c r="J241" s="44"/>
      <c r="K241" s="29"/>
      <c r="L241" s="29"/>
      <c r="M241" s="44"/>
      <c r="N241" s="46">
        <f>'Table 1'!E234</f>
        <v>0</v>
      </c>
      <c r="O241" s="44"/>
      <c r="P241" s="44"/>
      <c r="Q241" s="44"/>
      <c r="R241" s="29"/>
      <c r="S241" s="44"/>
      <c r="T241" s="29"/>
      <c r="U241" s="29"/>
      <c r="V241" s="29"/>
      <c r="W241" s="29"/>
      <c r="X241" s="29"/>
      <c r="Y241" s="44"/>
      <c r="Z241" s="44"/>
      <c r="AA241" s="44"/>
      <c r="AB241" s="44"/>
      <c r="AC241" s="44"/>
      <c r="AD241" s="44"/>
      <c r="AE241" s="46">
        <f>'Table 1'!G234</f>
        <v>0</v>
      </c>
      <c r="AF241" s="44"/>
      <c r="AG241" s="44"/>
      <c r="AH241" s="44"/>
      <c r="AI241" s="47">
        <f>'Table 1'!I234*100</f>
        <v>0</v>
      </c>
      <c r="AJ241" s="44"/>
      <c r="AK241" s="44"/>
      <c r="AL241" s="44"/>
      <c r="AM241" s="44"/>
    </row>
    <row r="242" spans="2:39" ht="13.8" x14ac:dyDescent="0.25">
      <c r="B242" s="45"/>
      <c r="C242" s="29"/>
      <c r="D242" s="29"/>
      <c r="E242" s="29"/>
      <c r="F242" s="44"/>
      <c r="G242" s="44"/>
      <c r="H242" s="44"/>
      <c r="I242" s="44"/>
      <c r="J242" s="44"/>
      <c r="K242" s="29"/>
      <c r="L242" s="29"/>
      <c r="M242" s="44"/>
      <c r="N242" s="46">
        <f>'Table 1'!E235</f>
        <v>0</v>
      </c>
      <c r="O242" s="44"/>
      <c r="P242" s="44"/>
      <c r="Q242" s="44"/>
      <c r="R242" s="29"/>
      <c r="S242" s="44"/>
      <c r="T242" s="29"/>
      <c r="U242" s="29"/>
      <c r="V242" s="29"/>
      <c r="W242" s="29"/>
      <c r="X242" s="29"/>
      <c r="Y242" s="44"/>
      <c r="Z242" s="44"/>
      <c r="AA242" s="44"/>
      <c r="AB242" s="44"/>
      <c r="AC242" s="44"/>
      <c r="AD242" s="44"/>
      <c r="AE242" s="46">
        <f>'Table 1'!G235</f>
        <v>0</v>
      </c>
      <c r="AF242" s="44"/>
      <c r="AG242" s="44"/>
      <c r="AH242" s="44"/>
      <c r="AI242" s="47">
        <f>'Table 1'!I235*100</f>
        <v>0</v>
      </c>
      <c r="AJ242" s="44"/>
      <c r="AK242" s="44"/>
      <c r="AL242" s="44"/>
      <c r="AM242" s="44"/>
    </row>
    <row r="243" spans="2:39" ht="13.8" x14ac:dyDescent="0.25">
      <c r="B243" s="45"/>
      <c r="C243" s="29"/>
      <c r="D243" s="29"/>
      <c r="E243" s="29"/>
      <c r="F243" s="44"/>
      <c r="G243" s="44"/>
      <c r="H243" s="44"/>
      <c r="I243" s="44"/>
      <c r="J243" s="44"/>
      <c r="K243" s="29"/>
      <c r="L243" s="29"/>
      <c r="M243" s="44"/>
      <c r="N243" s="46">
        <f>'Table 1'!E236</f>
        <v>0</v>
      </c>
      <c r="O243" s="44"/>
      <c r="P243" s="44"/>
      <c r="Q243" s="44"/>
      <c r="R243" s="29"/>
      <c r="S243" s="44"/>
      <c r="T243" s="29"/>
      <c r="U243" s="29"/>
      <c r="V243" s="29"/>
      <c r="W243" s="29"/>
      <c r="X243" s="29"/>
      <c r="Y243" s="44"/>
      <c r="Z243" s="44"/>
      <c r="AA243" s="44"/>
      <c r="AB243" s="44"/>
      <c r="AC243" s="44"/>
      <c r="AD243" s="44"/>
      <c r="AE243" s="46">
        <f>'Table 1'!G236</f>
        <v>0</v>
      </c>
      <c r="AF243" s="44"/>
      <c r="AG243" s="44"/>
      <c r="AH243" s="44"/>
      <c r="AI243" s="47">
        <f>'Table 1'!I236*100</f>
        <v>0</v>
      </c>
      <c r="AJ243" s="44"/>
      <c r="AK243" s="44"/>
      <c r="AL243" s="44"/>
      <c r="AM243" s="44"/>
    </row>
    <row r="244" spans="2:39" ht="13.8" x14ac:dyDescent="0.25">
      <c r="B244" s="45"/>
      <c r="C244" s="29"/>
      <c r="D244" s="29"/>
      <c r="E244" s="29"/>
      <c r="F244" s="44"/>
      <c r="G244" s="44"/>
      <c r="H244" s="44"/>
      <c r="I244" s="44"/>
      <c r="J244" s="44"/>
      <c r="K244" s="29"/>
      <c r="L244" s="29"/>
      <c r="M244" s="44"/>
      <c r="N244" s="46">
        <f>'Table 1'!E237</f>
        <v>0</v>
      </c>
      <c r="O244" s="44"/>
      <c r="P244" s="44"/>
      <c r="Q244" s="44"/>
      <c r="R244" s="29"/>
      <c r="S244" s="44"/>
      <c r="T244" s="29"/>
      <c r="U244" s="29"/>
      <c r="V244" s="29"/>
      <c r="W244" s="29"/>
      <c r="X244" s="29"/>
      <c r="Y244" s="44"/>
      <c r="Z244" s="44"/>
      <c r="AA244" s="44"/>
      <c r="AB244" s="44"/>
      <c r="AC244" s="44"/>
      <c r="AD244" s="44"/>
      <c r="AE244" s="46">
        <f>'Table 1'!G237</f>
        <v>0</v>
      </c>
      <c r="AF244" s="44"/>
      <c r="AG244" s="44"/>
      <c r="AH244" s="44"/>
      <c r="AI244" s="47">
        <f>'Table 1'!I237*100</f>
        <v>0</v>
      </c>
      <c r="AJ244" s="44"/>
      <c r="AK244" s="44"/>
      <c r="AL244" s="44"/>
      <c r="AM244" s="44"/>
    </row>
    <row r="245" spans="2:39" ht="13.8" x14ac:dyDescent="0.25">
      <c r="B245" s="45"/>
      <c r="C245" s="29"/>
      <c r="D245" s="29"/>
      <c r="E245" s="29"/>
      <c r="F245" s="44"/>
      <c r="G245" s="44"/>
      <c r="H245" s="44"/>
      <c r="I245" s="44"/>
      <c r="J245" s="44"/>
      <c r="K245" s="29"/>
      <c r="L245" s="29"/>
      <c r="M245" s="44"/>
      <c r="N245" s="46">
        <f>'Table 1'!E238</f>
        <v>0</v>
      </c>
      <c r="O245" s="44"/>
      <c r="P245" s="44"/>
      <c r="Q245" s="44"/>
      <c r="R245" s="29"/>
      <c r="S245" s="44"/>
      <c r="T245" s="29"/>
      <c r="U245" s="29"/>
      <c r="V245" s="29"/>
      <c r="W245" s="29"/>
      <c r="X245" s="29"/>
      <c r="Y245" s="44"/>
      <c r="Z245" s="44"/>
      <c r="AA245" s="44"/>
      <c r="AB245" s="44"/>
      <c r="AC245" s="44"/>
      <c r="AD245" s="44"/>
      <c r="AE245" s="46">
        <f>'Table 1'!G238</f>
        <v>0</v>
      </c>
      <c r="AF245" s="44"/>
      <c r="AG245" s="44"/>
      <c r="AH245" s="44"/>
      <c r="AI245" s="47">
        <f>'Table 1'!I238*100</f>
        <v>0</v>
      </c>
      <c r="AJ245" s="44"/>
      <c r="AK245" s="44"/>
      <c r="AL245" s="44"/>
      <c r="AM245" s="44"/>
    </row>
    <row r="246" spans="2:39" ht="13.8" x14ac:dyDescent="0.25">
      <c r="B246" s="45"/>
      <c r="C246" s="29"/>
      <c r="D246" s="29"/>
      <c r="E246" s="29"/>
      <c r="F246" s="44"/>
      <c r="G246" s="44"/>
      <c r="H246" s="44"/>
      <c r="I246" s="44"/>
      <c r="J246" s="44"/>
      <c r="K246" s="29"/>
      <c r="L246" s="29"/>
      <c r="M246" s="44"/>
      <c r="N246" s="46">
        <f>'Table 1'!E239</f>
        <v>0</v>
      </c>
      <c r="O246" s="44"/>
      <c r="P246" s="44"/>
      <c r="Q246" s="44"/>
      <c r="R246" s="29"/>
      <c r="S246" s="44"/>
      <c r="T246" s="29"/>
      <c r="U246" s="29"/>
      <c r="V246" s="29"/>
      <c r="W246" s="29"/>
      <c r="X246" s="29"/>
      <c r="Y246" s="44"/>
      <c r="Z246" s="44"/>
      <c r="AA246" s="44"/>
      <c r="AB246" s="44"/>
      <c r="AC246" s="44"/>
      <c r="AD246" s="44"/>
      <c r="AE246" s="46">
        <f>'Table 1'!G239</f>
        <v>0</v>
      </c>
      <c r="AF246" s="44"/>
      <c r="AG246" s="44"/>
      <c r="AH246" s="44"/>
      <c r="AI246" s="47">
        <f>'Table 1'!I239*100</f>
        <v>0</v>
      </c>
      <c r="AJ246" s="44"/>
      <c r="AK246" s="44"/>
      <c r="AL246" s="44"/>
      <c r="AM246" s="44"/>
    </row>
    <row r="247" spans="2:39" ht="13.8" x14ac:dyDescent="0.25">
      <c r="B247" s="45"/>
      <c r="C247" s="29"/>
      <c r="D247" s="29"/>
      <c r="E247" s="29"/>
      <c r="F247" s="44"/>
      <c r="G247" s="44"/>
      <c r="H247" s="44"/>
      <c r="I247" s="44"/>
      <c r="J247" s="44"/>
      <c r="K247" s="29"/>
      <c r="L247" s="29"/>
      <c r="M247" s="44"/>
      <c r="N247" s="46">
        <f>'Table 1'!E240</f>
        <v>0</v>
      </c>
      <c r="O247" s="44"/>
      <c r="P247" s="44"/>
      <c r="Q247" s="44"/>
      <c r="R247" s="29"/>
      <c r="S247" s="44"/>
      <c r="T247" s="29"/>
      <c r="U247" s="29"/>
      <c r="V247" s="29"/>
      <c r="W247" s="29"/>
      <c r="X247" s="29"/>
      <c r="Y247" s="44"/>
      <c r="Z247" s="44"/>
      <c r="AA247" s="44"/>
      <c r="AB247" s="44"/>
      <c r="AC247" s="44"/>
      <c r="AD247" s="44"/>
      <c r="AE247" s="46">
        <f>'Table 1'!G240</f>
        <v>0</v>
      </c>
      <c r="AF247" s="44"/>
      <c r="AG247" s="44"/>
      <c r="AH247" s="44"/>
      <c r="AI247" s="47">
        <f>'Table 1'!I240*100</f>
        <v>0</v>
      </c>
      <c r="AJ247" s="44"/>
      <c r="AK247" s="44"/>
      <c r="AL247" s="44"/>
      <c r="AM247" s="44"/>
    </row>
    <row r="248" spans="2:39" ht="13.8" x14ac:dyDescent="0.25">
      <c r="B248" s="45"/>
      <c r="C248" s="29"/>
      <c r="D248" s="29"/>
      <c r="E248" s="29"/>
      <c r="F248" s="44"/>
      <c r="G248" s="44"/>
      <c r="H248" s="44"/>
      <c r="I248" s="44"/>
      <c r="J248" s="44"/>
      <c r="K248" s="29"/>
      <c r="L248" s="29"/>
      <c r="M248" s="44"/>
      <c r="N248" s="46">
        <f>'Table 1'!E241</f>
        <v>0</v>
      </c>
      <c r="O248" s="44"/>
      <c r="P248" s="44"/>
      <c r="Q248" s="44"/>
      <c r="R248" s="29"/>
      <c r="S248" s="44"/>
      <c r="T248" s="29"/>
      <c r="U248" s="29"/>
      <c r="V248" s="29"/>
      <c r="W248" s="29"/>
      <c r="X248" s="29"/>
      <c r="Y248" s="44"/>
      <c r="Z248" s="44"/>
      <c r="AA248" s="44"/>
      <c r="AB248" s="44"/>
      <c r="AC248" s="44"/>
      <c r="AD248" s="44"/>
      <c r="AE248" s="46">
        <f>'Table 1'!G241</f>
        <v>0</v>
      </c>
      <c r="AF248" s="44"/>
      <c r="AG248" s="44"/>
      <c r="AH248" s="44"/>
      <c r="AI248" s="47">
        <f>'Table 1'!I241*100</f>
        <v>0</v>
      </c>
      <c r="AJ248" s="44"/>
      <c r="AK248" s="44"/>
      <c r="AL248" s="44"/>
      <c r="AM248" s="44"/>
    </row>
    <row r="249" spans="2:39" ht="13.8" x14ac:dyDescent="0.25">
      <c r="B249" s="45"/>
      <c r="C249" s="29"/>
      <c r="D249" s="29"/>
      <c r="E249" s="29"/>
      <c r="F249" s="44"/>
      <c r="G249" s="44"/>
      <c r="H249" s="44"/>
      <c r="I249" s="44"/>
      <c r="J249" s="44"/>
      <c r="K249" s="29"/>
      <c r="L249" s="29"/>
      <c r="M249" s="44"/>
      <c r="N249" s="46">
        <f>'Table 1'!E242</f>
        <v>0</v>
      </c>
      <c r="O249" s="44"/>
      <c r="P249" s="44"/>
      <c r="Q249" s="44"/>
      <c r="R249" s="29"/>
      <c r="S249" s="44"/>
      <c r="T249" s="29"/>
      <c r="U249" s="29"/>
      <c r="V249" s="29"/>
      <c r="W249" s="29"/>
      <c r="X249" s="29"/>
      <c r="Y249" s="44"/>
      <c r="Z249" s="44"/>
      <c r="AA249" s="44"/>
      <c r="AB249" s="44"/>
      <c r="AC249" s="44"/>
      <c r="AD249" s="44"/>
      <c r="AE249" s="46">
        <f>'Table 1'!G242</f>
        <v>0</v>
      </c>
      <c r="AF249" s="44"/>
      <c r="AG249" s="44"/>
      <c r="AH249" s="44"/>
      <c r="AI249" s="47">
        <f>'Table 1'!I242*100</f>
        <v>0</v>
      </c>
      <c r="AJ249" s="44"/>
      <c r="AK249" s="44"/>
      <c r="AL249" s="44"/>
      <c r="AM249" s="44"/>
    </row>
    <row r="250" spans="2:39" ht="13.8" x14ac:dyDescent="0.25">
      <c r="B250" s="45"/>
      <c r="C250" s="29"/>
      <c r="D250" s="29"/>
      <c r="E250" s="29"/>
      <c r="F250" s="44"/>
      <c r="G250" s="44"/>
      <c r="H250" s="44"/>
      <c r="I250" s="44"/>
      <c r="J250" s="44"/>
      <c r="K250" s="29"/>
      <c r="L250" s="29"/>
      <c r="M250" s="44"/>
      <c r="N250" s="46">
        <f>'Table 1'!E243</f>
        <v>0</v>
      </c>
      <c r="O250" s="44"/>
      <c r="P250" s="44"/>
      <c r="Q250" s="44"/>
      <c r="R250" s="29"/>
      <c r="S250" s="44"/>
      <c r="T250" s="29"/>
      <c r="U250" s="29"/>
      <c r="V250" s="29"/>
      <c r="W250" s="29"/>
      <c r="X250" s="29"/>
      <c r="Y250" s="44"/>
      <c r="Z250" s="44"/>
      <c r="AA250" s="44"/>
      <c r="AB250" s="44"/>
      <c r="AC250" s="44"/>
      <c r="AD250" s="44"/>
      <c r="AE250" s="46">
        <f>'Table 1'!G243</f>
        <v>0</v>
      </c>
      <c r="AF250" s="44"/>
      <c r="AG250" s="44"/>
      <c r="AH250" s="44"/>
      <c r="AI250" s="47">
        <f>'Table 1'!I243*100</f>
        <v>0</v>
      </c>
      <c r="AJ250" s="44"/>
      <c r="AK250" s="44"/>
      <c r="AL250" s="44"/>
      <c r="AM250" s="44"/>
    </row>
  </sheetData>
  <sheetProtection algorithmName="SHA-512" hashValue="V1ZVMu69/2vgiljvEPkfYKRjoQraclK/mBbBqbqYQz7HDUhexe9bFfD7sR2HpWHhAoU61+6WoS8m2lCJ/KCC6Q==" saltValue="ZlXV85x7VhbjDRpAWLhcnA==" spinCount="100000" sheet="1" objects="1" scenarios="1"/>
  <mergeCells count="10">
    <mergeCell ref="AJ6:AM6"/>
    <mergeCell ref="AJ7:AM7"/>
    <mergeCell ref="C6:E7"/>
    <mergeCell ref="R6:AI6"/>
    <mergeCell ref="R7:T7"/>
    <mergeCell ref="U7:W7"/>
    <mergeCell ref="X7:Z7"/>
    <mergeCell ref="AA7:AD7"/>
    <mergeCell ref="AE7:AH7"/>
    <mergeCell ref="AI7:A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 Roadway LOS Inventory.xlsm</dc:title>
  <dc:creator>llambert</dc:creator>
  <cp:lastModifiedBy>Daniel Wofford</cp:lastModifiedBy>
  <dcterms:created xsi:type="dcterms:W3CDTF">2025-04-09T15:21:05Z</dcterms:created>
  <dcterms:modified xsi:type="dcterms:W3CDTF">2025-10-20T20:07:13Z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2025-04-09T00:00:00Z</vt:filetime>
  </property>
  <property fmtid="{D5CDD505-2E9C-101B-9397-08002B2CF9AE}" pid="5" name="Producer">
    <vt:lpwstr>Acrobat Distiller 22.0 (Windows)</vt:lpwstr>
  </property>
</Properties>
</file>